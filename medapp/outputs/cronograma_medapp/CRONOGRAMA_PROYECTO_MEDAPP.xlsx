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6829090ce143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7b4f829cf73349e9"/>
    <x:sheet xmlns:r="http://schemas.openxmlformats.org/officeDocument/2006/relationships" name="Cronograma" sheetId="2" r:id="R989f8a7aff5b43a1"/>
    <x:sheet xmlns:r="http://schemas.openxmlformats.org/officeDocument/2006/relationships" name="Gantt Semanal" sheetId="3" r:id="Racd3d11dac8741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"/>
    <x:numFmt numFmtId="202" formatCode="0%"/>
  </x:numFmts>
  <x:fonts count="22">
    <x:font>
      <x:sz val="11"/>
      <x:name val="Carlito"/>
    </x:font>
    <x:font>
      <x:b/>
      <x:sz val="18"/>
      <x:color rgb="FFFFFF"/>
      <x:name val="Carlito"/>
    </x:font>
    <x:font>
      <x:sz val="10"/>
      <x:color rgb="52606D"/>
      <x:name val="Carlito"/>
    </x:font>
    <x:font>
      <x:b/>
      <x:sz val="11"/>
      <x:color rgb="FFFFFF"/>
      <x:name val="Carlito"/>
    </x:font>
    <x:font>
      <x:sz val="9"/>
      <x:color rgb="1F2933"/>
      <x:name val="Carlito"/>
    </x:font>
    <x:font>
      <x:b/>
      <x:sz val="11"/>
      <x:color rgb="1F4E79"/>
      <x:name val="Carlito"/>
    </x:font>
    <x:font>
      <x:sz val="11"/>
      <x:color rgb="1F2933"/>
      <x:name val="Carlito"/>
    </x:font>
    <x:font>
      <x:b/>
      <x:sz val="16"/>
      <x:color rgb="FFFFFF"/>
      <x:name val="Carlito"/>
    </x:font>
    <x:font>
      <x:b/>
      <x:sz val="9"/>
      <x:color rgb="FFFFFF"/>
      <x:name val="Carlito"/>
    </x:font>
    <x:font>
      <x:b/>
      <x:sz val="12"/>
      <x:color rgb="2E86C1"/>
      <x:name val="Carlito"/>
    </x:font>
    <x:font>
      <x:sz val="9"/>
      <x:color rgb="52606D"/>
      <x:name val="Carlito"/>
    </x:font>
    <x:font>
      <x:b/>
      <x:sz val="18"/>
      <x:color rgb="FFFFFF"/>
      <x:name val="Segoe UI"/>
    </x:font>
    <x:font>
      <x:sz val="11"/>
      <x:name val="Segoe UI"/>
    </x:font>
    <x:font>
      <x:sz val="10"/>
      <x:color rgb="52606D"/>
      <x:name val="Segoe UI"/>
    </x:font>
    <x:font>
      <x:b/>
      <x:sz val="11"/>
      <x:color rgb="1F4E79"/>
      <x:name val="Segoe UI"/>
    </x:font>
    <x:font>
      <x:sz val="11"/>
      <x:color rgb="1F2933"/>
      <x:name val="Segoe UI"/>
    </x:font>
    <x:font>
      <x:b/>
      <x:sz val="11"/>
      <x:color rgb="FFFFFF"/>
      <x:name val="Segoe UI"/>
    </x:font>
    <x:font>
      <x:sz val="9"/>
      <x:color rgb="1F2933"/>
      <x:name val="Segoe UI"/>
    </x:font>
    <x:font>
      <x:b/>
      <x:sz val="16"/>
      <x:color rgb="FFFFFF"/>
      <x:name val="Segoe UI"/>
    </x:font>
    <x:font>
      <x:b/>
      <x:sz val="9"/>
      <x:color rgb="FFFFFF"/>
      <x:name val="Segoe UI"/>
    </x:font>
    <x:font>
      <x:b/>
      <x:sz val="12"/>
      <x:color rgb="2E86C1"/>
      <x:name val="Segoe UI"/>
    </x:font>
    <x:font>
      <x:sz val="9"/>
      <x:color rgb="52606D"/>
      <x:name val="Segoe UI"/>
    </x:font>
  </x:fonts>
  <x:fills count="10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EAF2F8"/>
      </x:patternFill>
    </x:fill>
    <x:fill>
      <x:patternFill patternType="solid">
        <x:fgColor rgb="FFFFFF"/>
      </x:patternFill>
    </x:fill>
    <x:fill>
      <x:patternFill patternType="solid">
        <x:fgColor rgb="D9EAF7"/>
      </x:patternFill>
    </x:fill>
    <x:fill>
      <x:patternFill patternType="solid">
        <x:fgColor rgb="E6F4EA"/>
      </x:patternFill>
    </x:fill>
    <x:fill>
      <x:patternFill patternType="solid">
        <x:fgColor rgb="F3EAF8"/>
      </x:patternFill>
    </x:fill>
    <x:fill>
      <x:patternFill patternType="solid">
        <x:fgColor rgb="FFF2CC"/>
      </x:patternFill>
    </x:fill>
    <x:fill>
      <x:patternFill patternType="solid">
        <x:fgColor rgb="E8EEF7"/>
      </x:patternFill>
    </x:fill>
  </x:fills>
  <x:borders count="1">
    <x:border/>
  </x:borders>
  <x:cellStyleXfs count="1">
    <x:xf numFmtId="0" fontId="0" fillId="0" borderId="0"/>
  </x:cellStyleXfs>
  <x:cellXfs count="8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wrapText="1"/>
    </x:xf>
    <x:xf numFmtId="202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top" wrapText="1"/>
    </x:xf>
    <x:xf numFmtId="202" fontId="4" fillId="0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200" fontId="6" fillId="4" borderId="0" xfId="0" applyNumberFormat="1" applyFont="1" applyFill="1" applyBorder="1"/>
    <x:xf numFmtId="201" fontId="6" fillId="4" borderId="0" xfId="0" applyNumberFormat="1" applyFont="1" applyFill="1" applyBorder="1"/>
    <x:xf numFmtId="202" fontId="6" fillId="4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vertical="center" wrapText="1"/>
    </x:xf>
    <x:xf numFmtId="0" fontId="4" fillId="9" borderId="0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wrapText="1"/>
    </x:xf>
    <x:xf numFmtId="0" fontId="10" fillId="3" borderId="0" xfId="0" applyNumberFormat="1" applyFont="1" applyFill="1" applyBorder="1" applyAlignment="1">
      <x:alignment vertical="center" wrapText="1"/>
    </x:xf>
    <x:xf numFmtId="0" fontId="11" fillId="2" borderId="0" xfId="0" applyNumberFormat="1" applyFont="1" applyFill="1" applyBorder="1" applyAlignment="1">
      <x:alignment horizontal="center" vertical="center"/>
    </x:xf>
    <x:xf numFmtId="0" fontId="12" fillId="0" borderId="0" xfId="0" applyNumberFormat="1" applyFont="1" applyFill="1" applyBorder="1"/>
    <x:xf numFmtId="0" fontId="13" fillId="3" borderId="0" xfId="0" applyNumberFormat="1" applyFont="1" applyFill="1" applyBorder="1" applyAlignment="1">
      <x:alignment horizontal="center" vertical="center" wrapText="1"/>
    </x:xf>
    <x:xf numFmtId="0" fontId="14" fillId="3" borderId="0" xfId="0" applyNumberFormat="1" applyFont="1" applyFill="1" applyBorder="1"/>
    <x:xf numFmtId="200" fontId="15" fillId="4" borderId="0" xfId="0" applyNumberFormat="1" applyFont="1" applyFill="1" applyBorder="1"/>
    <x:xf numFmtId="0" fontId="16" fillId="2" borderId="0" xfId="0" applyNumberFormat="1" applyFont="1" applyFill="1" applyBorder="1" applyAlignment="1">
      <x:alignment horizontal="center"/>
    </x:xf>
    <x:xf numFmtId="0" fontId="15" fillId="0" borderId="0" xfId="0" applyNumberFormat="1" applyFont="1" applyFill="1" applyBorder="1"/>
    <x:xf numFmtId="201" fontId="15" fillId="4" borderId="0" xfId="0" applyNumberFormat="1" applyFont="1" applyFill="1" applyBorder="1"/>
    <x:xf numFmtId="202" fontId="15" fillId="4" borderId="0" xfId="0" applyNumberFormat="1" applyFont="1" applyFill="1" applyBorder="1"/>
    <x:xf numFmtId="0" fontId="17" fillId="0" borderId="0" xfId="0" applyNumberFormat="1" applyFont="1" applyFill="1" applyBorder="1" applyAlignment="1">
      <x:alignment wrapText="1"/>
    </x:xf>
    <x:xf numFmtId="200" fontId="17" fillId="0" borderId="0" xfId="0" applyNumberFormat="1" applyFont="1" applyFill="1" applyBorder="1" applyAlignment="1">
      <x:alignment wrapText="1"/>
    </x:xf>
    <x:xf numFmtId="201" fontId="17" fillId="0" borderId="0" xfId="0" applyNumberFormat="1" applyFont="1" applyFill="1" applyBorder="1" applyAlignment="1">
      <x:alignment wrapText="1"/>
    </x:xf>
    <x:xf numFmtId="202" fontId="17" fillId="0" borderId="0" xfId="0" applyNumberFormat="1" applyFont="1" applyFill="1" applyBorder="1" applyAlignment="1">
      <x:alignment wrapText="1"/>
    </x:xf>
    <x:xf numFmtId="0" fontId="16" fillId="2" borderId="0" xfId="0" applyNumberFormat="1" applyFont="1" applyFill="1" applyBorder="1" applyAlignment="1">
      <x:alignment horizontal="center" vertical="center" wrapText="1"/>
    </x:xf>
    <x:xf numFmtId="0" fontId="17" fillId="0" borderId="0" xfId="0" applyNumberFormat="1" applyFont="1" applyFill="1" applyBorder="1" applyAlignment="1">
      <x:alignment vertical="top" wrapText="1"/>
    </x:xf>
    <x:xf numFmtId="200" fontId="17" fillId="0" borderId="0" xfId="0" applyNumberFormat="1" applyFont="1" applyFill="1" applyBorder="1" applyAlignment="1">
      <x:alignment vertical="top" wrapText="1"/>
    </x:xf>
    <x:xf numFmtId="201" fontId="17" fillId="0" borderId="0" xfId="0" applyNumberFormat="1" applyFont="1" applyFill="1" applyBorder="1" applyAlignment="1">
      <x:alignment vertical="top" wrapText="1"/>
    </x:xf>
    <x:xf numFmtId="202" fontId="17" fillId="0" borderId="0" xfId="0" applyNumberFormat="1" applyFont="1" applyFill="1" applyBorder="1" applyAlignment="1">
      <x:alignment vertical="top" wrapText="1"/>
    </x:xf>
    <x:xf numFmtId="0" fontId="18" fillId="2" borderId="0" xfId="0" applyNumberFormat="1" applyFont="1" applyFill="1" applyBorder="1" applyAlignment="1">
      <x:alignment horizontal="center" vertical="center"/>
    </x:xf>
    <x:xf numFmtId="0" fontId="19" fillId="2" borderId="0" xfId="0" applyNumberFormat="1" applyFont="1" applyFill="1" applyBorder="1" applyAlignment="1">
      <x:alignment horizontal="center" vertical="center" wrapText="1"/>
    </x:xf>
    <x:xf numFmtId="0" fontId="17" fillId="0" borderId="0" xfId="0" applyNumberFormat="1" applyFont="1" applyFill="1" applyBorder="1" applyAlignment="1">
      <x:alignment vertical="center" wrapText="1"/>
    </x:xf>
    <x:xf numFmtId="0" fontId="17" fillId="5" borderId="0" xfId="0" applyNumberFormat="1" applyFont="1" applyFill="1" applyBorder="1" applyAlignment="1">
      <x:alignment vertical="center" wrapText="1"/>
    </x:xf>
    <x:xf numFmtId="200" fontId="17" fillId="0" borderId="0" xfId="0" applyNumberFormat="1" applyFont="1" applyFill="1" applyBorder="1" applyAlignment="1">
      <x:alignment vertical="center" wrapText="1"/>
    </x:xf>
    <x:xf numFmtId="0" fontId="20" fillId="0" borderId="0" xfId="0" applyNumberFormat="1" applyFont="1" applyFill="1" applyBorder="1" applyAlignment="1">
      <x:alignment horizontal="center" vertical="center" wrapText="1"/>
    </x:xf>
    <x:xf numFmtId="0" fontId="17" fillId="6" borderId="0" xfId="0" applyNumberFormat="1" applyFont="1" applyFill="1" applyBorder="1" applyAlignment="1">
      <x:alignment vertical="center" wrapText="1"/>
    </x:xf>
    <x:xf numFmtId="0" fontId="17" fillId="3" borderId="0" xfId="0" applyNumberFormat="1" applyFont="1" applyFill="1" applyBorder="1" applyAlignment="1">
      <x:alignment vertical="center" wrapText="1"/>
    </x:xf>
    <x:xf numFmtId="0" fontId="17" fillId="7" borderId="0" xfId="0" applyNumberFormat="1" applyFont="1" applyFill="1" applyBorder="1" applyAlignment="1">
      <x:alignment vertical="center" wrapText="1"/>
    </x:xf>
    <x:xf numFmtId="0" fontId="17" fillId="8" borderId="0" xfId="0" applyNumberFormat="1" applyFont="1" applyFill="1" applyBorder="1" applyAlignment="1">
      <x:alignment vertical="center" wrapText="1"/>
    </x:xf>
    <x:xf numFmtId="0" fontId="17" fillId="9" borderId="0" xfId="0" applyNumberFormat="1" applyFont="1" applyFill="1" applyBorder="1" applyAlignment="1">
      <x:alignment vertical="center" wrapText="1"/>
    </x:xf>
    <x:xf numFmtId="0" fontId="2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1E8449"/>
      </x:font>
      <x:fill>
        <x:patternFill patternType="solid">
          <x:bgColor rgb="E6F4EA"/>
        </x:patternFill>
      </x:fill>
    </x:dxf>
    <x:dxf>
      <x:font>
        <x:b/>
        <x:color rgb="B9770E"/>
      </x:font>
      <x:fill>
        <x:patternFill patternType="solid">
          <x:bgColor rgb="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6f08a99aea4d7b" /><Relationship Type="http://schemas.openxmlformats.org/officeDocument/2006/relationships/theme" Target="/xl/theme/theme1.xml" Id="R1aec2b1c43784d22" /><Relationship Type="http://schemas.openxmlformats.org/officeDocument/2006/relationships/sharedStrings" Target="/xl/sharedStrings.xml" Id="Ra21fdd4a96ce40ca" /><Relationship Type="http://schemas.openxmlformats.org/officeDocument/2006/relationships/worksheet" Target="/xl/worksheets/sheet1.xml" Id="R7b4f829cf73349e9" /><Relationship Type="http://schemas.openxmlformats.org/officeDocument/2006/relationships/worksheet" Target="/xl/worksheets/sheet2.xml" Id="R989f8a7aff5b43a1" /><Relationship Type="http://schemas.openxmlformats.org/officeDocument/2006/relationships/worksheet" Target="/xl/worksheets/sheet3.xml" Id="Racd3d11dac8741b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50b2263e9f3432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Actividades por fase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Valor</c:v>
          </c:tx>
          <c:cat>
            <c:strRef>
              <c:f>'Resumen'!$H$5:$H$10</c:f>
              <c:strCache>
                <c:ptCount val="0"/>
              </c:strCache>
            </c:strRef>
          </c:cat>
          <c:val>
            <c:numRef>
              <c:f>'Resumen'!$I$5:$I$10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10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50b2263e9f3432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ResumenFases" displayName="ResumenFases" ref="A11:F17" headerRowCount="1">
  <x:tableColumns count="6">
    <x:tableColumn id="1" name="Fase"/>
    <x:tableColumn id="2" name="Actividades"/>
    <x:tableColumn id="3" name="Inicio"/>
    <x:tableColumn id="4" name="Fin"/>
    <x:tableColumn id="5" name="Dias planificados"/>
    <x:tableColumn id="6" name="Avance"/>
  </x:tableColumns>
  <x:tableStyleInfo name="TableStyleMedium2" showRowStripes="1"/>
</x:table>
</file>

<file path=xl/tables/table2.xml><?xml version="1.0" encoding="utf-8"?>
<x:table xmlns:x="http://schemas.openxmlformats.org/spreadsheetml/2006/main" id="1" name="CronogramaMedApp" displayName="CronogramaMedApp" ref="A4:J32" headerRowCount="1">
  <x:autoFilter ref="A4:J32"/>
  <x:tableColumns count="10">
    <x:tableColumn id="1" name="No."/>
    <x:tableColumn id="2" name="Fase"/>
    <x:tableColumn id="3" name="Actividad"/>
    <x:tableColumn id="4" name="Inicio"/>
    <x:tableColumn id="5" name="Fin"/>
    <x:tableColumn id="6" name="Duracion"/>
    <x:tableColumn id="7" name="Responsable"/>
    <x:tableColumn id="8" name="Estado"/>
    <x:tableColumn id="9" name="% Avance"/>
    <x:tableColumn id="10" name="Observacion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7e61c17444c4711" /><Relationship Type="http://schemas.openxmlformats.org/officeDocument/2006/relationships/table" Target="/xl/tables/table1.xml" Id="Rfc49d7d910074da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3d9b83a84374ba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860000610351562" hidden="0" customWidth="1"/>
    <x:col min="2" max="2" width="16.81999969482422" hidden="0" customWidth="1"/>
    <x:col min="3" max="3" width="14.130000114440918" hidden="0" customWidth="1"/>
    <x:col min="4" max="4" width="14.130000114440918" hidden="0" customWidth="1"/>
    <x:col min="5" max="5" width="14.800000190734863" hidden="0" customWidth="1"/>
    <x:col min="6" max="6" width="12.789999961853027" hidden="0" customWidth="1"/>
    <x:col min="7" max="7" width="15.479999542236328" hidden="0" customWidth="1"/>
    <x:col min="8" max="8" width="15.479999542236328" hidden="0" customWidth="1"/>
    <x:col min="9" max="9" width="15.479999542236328" hidden="0" customWidth="1"/>
  </x:cols>
  <x:sheetData>
    <x:row r="1" ht="28.5" customHeight="1">
      <x:c r="A1" s="57" t="str">
        <x:v>Resumen del cronograma MedApp</x:v>
      </x:c>
      <x:c r="B1" s="58"/>
      <x:c r="C1" s="58"/>
      <x:c r="D1" s="58"/>
      <x:c r="E1" s="58"/>
      <x:c r="F1" s="58"/>
      <x:c r="G1" s="58"/>
      <x:c r="H1" s="58"/>
      <x:c r="I1" s="58"/>
    </x:row>
    <x:row r="2" ht="22.5" customHeight="1">
      <x:c r="A2" s="59" t="str">
        <x:v>Vista ejecutiva de fases, duracion y avance del proyecto</x:v>
      </x:c>
      <x:c r="B2" s="58"/>
      <x:c r="C2" s="58"/>
      <x:c r="D2" s="58"/>
      <x:c r="E2" s="58"/>
      <x:c r="F2" s="58"/>
      <x:c r="G2" s="58"/>
      <x:c r="H2" s="58"/>
      <x:c r="I2" s="58"/>
    </x:row>
    <x:row r="3">
      <x:c r="A3" s="58"/>
      <x:c r="B3" s="58"/>
      <x:c r="C3" s="58"/>
      <x:c r="D3" s="58"/>
      <x:c r="E3" s="58"/>
      <x:c r="F3" s="58"/>
      <x:c r="G3" s="58"/>
      <x:c r="H3" s="58"/>
      <x:c r="I3" s="58"/>
    </x:row>
    <x:row r="4">
      <x:c r="A4" s="60" t="str">
        <x:v>Fecha de inicio</x:v>
      </x:c>
      <x:c r="B4" s="61" t="n">
        <x:v>46080</x:v>
      </x:c>
      <x:c r="C4" s="58"/>
      <x:c r="D4" s="58"/>
      <x:c r="E4" s="58"/>
      <x:c r="F4" s="58"/>
      <x:c r="G4" s="58"/>
      <x:c r="H4" s="62" t="str">
        <x:v>Indicador</x:v>
      </x:c>
      <x:c r="I4" s="62" t="str">
        <x:v>Valor</x:v>
      </x:c>
    </x:row>
    <x:row r="5">
      <x:c r="A5" s="60" t="str">
        <x:v>Fecha final planificada</x:v>
      </x:c>
      <x:c r="B5" s="61" t="n">
        <x:v>46145</x:v>
      </x:c>
      <x:c r="C5" s="58"/>
      <x:c r="D5" s="58"/>
      <x:c r="E5" s="58"/>
      <x:c r="F5" s="58"/>
      <x:c r="G5" s="58"/>
      <x:c r="H5" s="63" t="str">
        <x:v>Analisis</x:v>
      </x:c>
      <x:c r="I5" s="63" t="n">
        <x:v>4</x:v>
      </x:c>
    </x:row>
    <x:row r="6">
      <x:c r="A6" s="60" t="str">
        <x:v>Duracion calendario</x:v>
      </x:c>
      <x:c r="B6" s="64" t="n">
        <x:f>B5-B4+1</x:f>
        <x:v>66</x:v>
      </x:c>
      <x:c r="C6" s="58"/>
      <x:c r="D6" s="58"/>
      <x:c r="E6" s="58"/>
      <x:c r="F6" s="58"/>
      <x:c r="G6" s="58"/>
      <x:c r="H6" s="63" t="str">
        <x:v>Diseno</x:v>
      </x:c>
      <x:c r="I6" s="63" t="n">
        <x:v>4</x:v>
      </x:c>
    </x:row>
    <x:row r="7">
      <x:c r="A7" s="60" t="str">
        <x:v>Actividades totales</x:v>
      </x:c>
      <x:c r="B7" s="64" t="n">
        <x:v>28</x:v>
      </x:c>
      <x:c r="C7" s="58"/>
      <x:c r="D7" s="58"/>
      <x:c r="E7" s="58"/>
      <x:c r="F7" s="58"/>
      <x:c r="G7" s="58"/>
      <x:c r="H7" s="63" t="str">
        <x:v>Backend</x:v>
      </x:c>
      <x:c r="I7" s="63" t="n">
        <x:v>7</x:v>
      </x:c>
    </x:row>
    <x:row r="8">
      <x:c r="A8" s="60" t="str">
        <x:v>Avance promedio</x:v>
      </x:c>
      <x:c r="B8" s="65" t="n">
        <x:f>AVERAGE(Cronograma!I5:I32)</x:f>
        <x:v>0.9642857142857143</x:v>
      </x:c>
      <x:c r="C8" s="58"/>
      <x:c r="D8" s="58"/>
      <x:c r="E8" s="58"/>
      <x:c r="F8" s="58"/>
      <x:c r="G8" s="58"/>
      <x:c r="H8" s="63" t="str">
        <x:v>Frontend</x:v>
      </x:c>
      <x:c r="I8" s="63" t="n">
        <x:v>5</x:v>
      </x:c>
    </x:row>
    <x:row r="9">
      <x:c r="A9" s="58"/>
      <x:c r="B9" s="58"/>
      <x:c r="C9" s="58"/>
      <x:c r="D9" s="58"/>
      <x:c r="E9" s="58"/>
      <x:c r="F9" s="58"/>
      <x:c r="G9" s="58"/>
      <x:c r="H9" s="63" t="str">
        <x:v>Pruebas</x:v>
      </x:c>
      <x:c r="I9" s="63" t="n">
        <x:v>4</x:v>
      </x:c>
    </x:row>
    <x:row r="10">
      <x:c r="A10" s="58"/>
      <x:c r="B10" s="58"/>
      <x:c r="C10" s="58"/>
      <x:c r="D10" s="58"/>
      <x:c r="E10" s="58"/>
      <x:c r="F10" s="58"/>
      <x:c r="G10" s="58"/>
      <x:c r="H10" s="63" t="str">
        <x:v>Docs</x:v>
      </x:c>
      <x:c r="I10" s="63" t="n">
        <x:v>4</x:v>
      </x:c>
    </x:row>
    <x:row r="11">
      <x:c r="A11" s="62" t="str">
        <x:v>Fase</x:v>
      </x:c>
      <x:c r="B11" s="62" t="str">
        <x:v>Actividades</x:v>
      </x:c>
      <x:c r="C11" s="62" t="str">
        <x:v>Inicio</x:v>
      </x:c>
      <x:c r="D11" s="62" t="str">
        <x:v>Fin</x:v>
      </x:c>
      <x:c r="E11" s="62" t="str">
        <x:v>Dias planificados</x:v>
      </x:c>
      <x:c r="F11" s="62" t="str">
        <x:v>Avance</x:v>
      </x:c>
      <x:c r="G11" s="58"/>
      <x:c r="H11" s="58"/>
      <x:c r="I11" s="58"/>
    </x:row>
    <x:row r="12">
      <x:c r="A12" s="66" t="str">
        <x:v>Inicio y analisis</x:v>
      </x:c>
      <x:c r="B12" s="66" t="n">
        <x:v>4</x:v>
      </x:c>
      <x:c r="C12" s="67" t="n">
        <x:v>46080</x:v>
      </x:c>
      <x:c r="D12" s="67" t="n">
        <x:v>46093</x:v>
      </x:c>
      <x:c r="E12" s="68" t="n">
        <x:v>14</x:v>
      </x:c>
      <x:c r="F12" s="69" t="n">
        <x:v>1</x:v>
      </x:c>
      <x:c r="G12" s="58"/>
      <x:c r="H12" s="58"/>
      <x:c r="I12" s="58"/>
    </x:row>
    <x:row r="13">
      <x:c r="A13" s="66" t="str">
        <x:v>Diseno tecnico</x:v>
      </x:c>
      <x:c r="B13" s="66" t="n">
        <x:v>4</x:v>
      </x:c>
      <x:c r="C13" s="67" t="n">
        <x:v>46094</x:v>
      </x:c>
      <x:c r="D13" s="67" t="n">
        <x:v>46109</x:v>
      </x:c>
      <x:c r="E13" s="68" t="n">
        <x:v>16</x:v>
      </x:c>
      <x:c r="F13" s="69" t="n">
        <x:v>1</x:v>
      </x:c>
      <x:c r="G13" s="58"/>
      <x:c r="H13" s="58"/>
      <x:c r="I13" s="58"/>
    </x:row>
    <x:row r="14">
      <x:c r="A14" s="66" t="str">
        <x:v>Implementacion backend</x:v>
      </x:c>
      <x:c r="B14" s="66" t="n">
        <x:v>7</x:v>
      </x:c>
      <x:c r="C14" s="67" t="n">
        <x:v>46110</x:v>
      </x:c>
      <x:c r="D14" s="67" t="n">
        <x:v>46138</x:v>
      </x:c>
      <x:c r="E14" s="68" t="n">
        <x:v>29</x:v>
      </x:c>
      <x:c r="F14" s="69" t="n">
        <x:v>1</x:v>
      </x:c>
      <x:c r="G14" s="58"/>
      <x:c r="H14" s="58"/>
      <x:c r="I14" s="58"/>
    </x:row>
    <x:row r="15">
      <x:c r="A15" s="66" t="str">
        <x:v>Implementacion frontend</x:v>
      </x:c>
      <x:c r="B15" s="66" t="n">
        <x:v>5</x:v>
      </x:c>
      <x:c r="C15" s="67" t="n">
        <x:v>46114</x:v>
      </x:c>
      <x:c r="D15" s="67" t="n">
        <x:v>46137</x:v>
      </x:c>
      <x:c r="E15" s="68" t="n">
        <x:v>24</x:v>
      </x:c>
      <x:c r="F15" s="69" t="n">
        <x:v>1</x:v>
      </x:c>
      <x:c r="G15" s="58"/>
      <x:c r="H15" s="58"/>
      <x:c r="I15" s="58"/>
    </x:row>
    <x:row r="16">
      <x:c r="A16" s="66" t="str">
        <x:v>Integracion y pruebas</x:v>
      </x:c>
      <x:c r="B16" s="66" t="n">
        <x:v>4</x:v>
      </x:c>
      <x:c r="C16" s="67" t="n">
        <x:v>46129</x:v>
      </x:c>
      <x:c r="D16" s="67" t="n">
        <x:v>46142</x:v>
      </x:c>
      <x:c r="E16" s="68" t="n">
        <x:v>14</x:v>
      </x:c>
      <x:c r="F16" s="69" t="n">
        <x:v>1</x:v>
      </x:c>
      <x:c r="G16" s="58"/>
      <x:c r="H16" s="58"/>
      <x:c r="I16" s="58"/>
    </x:row>
    <x:row r="17">
      <x:c r="A17" s="66" t="str">
        <x:v>Documentacion y entrega</x:v>
      </x:c>
      <x:c r="B17" s="66" t="n">
        <x:v>4</x:v>
      </x:c>
      <x:c r="C17" s="67" t="n">
        <x:v>46139</x:v>
      </x:c>
      <x:c r="D17" s="67" t="n">
        <x:v>46145</x:v>
      </x:c>
      <x:c r="E17" s="68" t="n">
        <x:v>6</x:v>
      </x:c>
      <x:c r="F17" s="69" t="n">
        <x:v>0.75</x:v>
      </x:c>
      <x:c r="G17" s="58"/>
      <x:c r="H17" s="58"/>
      <x:c r="I17" s="58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a7e61c17444c4711"/>
  <x:tableParts count="1">
    <x:tablePart xmlns:r="http://schemas.openxmlformats.org/officeDocument/2006/relationships" r:id="Rfc49d7d910074da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519999980926514" hidden="0" customWidth="1"/>
    <x:col min="2" max="2" width="18.84000015258789" hidden="0" customWidth="1"/>
    <x:col min="3" max="3" width="40.380001068115234" hidden="0" customWidth="1"/>
    <x:col min="4" max="4" width="10.899999618530273" hidden="0" customWidth="1"/>
    <x:col min="5" max="5" width="10.899999618530273" hidden="0" customWidth="1"/>
    <x:col min="6" max="6" width="9.420000076293945" hidden="0" customWidth="1"/>
    <x:col min="7" max="7" width="15.479999542236328" hidden="0" customWidth="1"/>
    <x:col min="8" max="8" width="11.710000038146973" hidden="0" customWidth="1"/>
    <x:col min="9" max="9" width="9.5600004196167" hidden="0" customWidth="1"/>
    <x:col min="10" max="10" width="35.66999816894531" hidden="0" customWidth="1"/>
  </x:cols>
  <x:sheetData>
    <x:row r="1" ht="28.5" customHeight="1">
      <x:c r="A1" s="57" t="str">
        <x:v>Cronograma general del proyecto MedApp</x:v>
      </x:c>
      <x:c r="B1" s="58"/>
      <x:c r="C1" s="58"/>
      <x:c r="D1" s="58"/>
      <x:c r="E1" s="58"/>
      <x:c r="F1" s="58"/>
      <x:c r="G1" s="58"/>
      <x:c r="H1" s="58"/>
      <x:c r="I1" s="58"/>
      <x:c r="J1" s="58"/>
    </x:row>
    <x:row r="2" ht="22.5" customHeight="1">
      <x:c r="A2" s="59" t="str">
        <x:v>Inicio del proyecto: 27 de febrero de 2026 | Sistema web de gestion de citas medicas</x:v>
      </x:c>
      <x:c r="B2" s="58"/>
      <x:c r="C2" s="58"/>
      <x:c r="D2" s="58"/>
      <x:c r="E2" s="58"/>
      <x:c r="F2" s="58"/>
      <x:c r="G2" s="58"/>
      <x:c r="H2" s="58"/>
      <x:c r="I2" s="58"/>
      <x:c r="J2" s="58"/>
    </x:row>
    <x:row r="3">
      <x:c r="A3" s="58"/>
      <x:c r="B3" s="58"/>
      <x:c r="C3" s="58"/>
      <x:c r="D3" s="58"/>
      <x:c r="E3" s="58"/>
      <x:c r="F3" s="58"/>
      <x:c r="G3" s="58"/>
      <x:c r="H3" s="58"/>
      <x:c r="I3" s="58"/>
      <x:c r="J3" s="58"/>
    </x:row>
    <x:row r="4">
      <x:c r="A4" s="70" t="str">
        <x:v>No.</x:v>
      </x:c>
      <x:c r="B4" s="70" t="str">
        <x:v>Fase</x:v>
      </x:c>
      <x:c r="C4" s="70" t="str">
        <x:v>Actividad</x:v>
      </x:c>
      <x:c r="D4" s="70" t="str">
        <x:v>Inicio</x:v>
      </x:c>
      <x:c r="E4" s="70" t="str">
        <x:v>Fin</x:v>
      </x:c>
      <x:c r="F4" s="70" t="str">
        <x:v>Duracion</x:v>
      </x:c>
      <x:c r="G4" s="70" t="str">
        <x:v>Responsable</x:v>
      </x:c>
      <x:c r="H4" s="70" t="str">
        <x:v>Estado</x:v>
      </x:c>
      <x:c r="I4" s="70" t="str">
        <x:v>% Avance</x:v>
      </x:c>
      <x:c r="J4" s="70" t="str">
        <x:v>Observaciones</x:v>
      </x:c>
    </x:row>
    <x:row r="5" ht="25.5" customHeight="1">
      <x:c r="A5" s="71" t="n">
        <x:v>1</x:v>
      </x:c>
      <x:c r="B5" s="71" t="str">
        <x:v>Inicio y analisis</x:v>
      </x:c>
      <x:c r="C5" s="71" t="str">
        <x:v>Levantamiento de alcance y objetivos del sistema</x:v>
      </x:c>
      <x:c r="D5" s="72" t="n">
        <x:v>46080</x:v>
      </x:c>
      <x:c r="E5" s="72" t="n">
        <x:v>46083</x:v>
      </x:c>
      <x:c r="F5" s="73" t="n">
        <x:f>E5-D5+1</x:f>
        <x:v>4</x:v>
      </x:c>
      <x:c r="G5" s="71" t="str">
        <x:v>Analista / Equipo</x:v>
      </x:c>
      <x:c r="H5" s="71" t="str">
        <x:v>Completado</x:v>
      </x:c>
      <x:c r="I5" s="74" t="n">
        <x:v>1</x:v>
      </x:c>
      <x:c r="J5" s="71" t="str">
        <x:v>Definicion del alcance general de MedApp.</x:v>
      </x:c>
    </x:row>
    <x:row r="6" ht="25.5" customHeight="1">
      <x:c r="A6" s="71" t="n">
        <x:v>2</x:v>
      </x:c>
      <x:c r="B6" s="71" t="str">
        <x:v>Inicio y analisis</x:v>
      </x:c>
      <x:c r="C6" s="71" t="str">
        <x:v>Revision de necesidades de usuarios: administradores, staff, medicos y pacientes</x:v>
      </x:c>
      <x:c r="D6" s="72" t="n">
        <x:v>46084</x:v>
      </x:c>
      <x:c r="E6" s="72" t="n">
        <x:v>46086</x:v>
      </x:c>
      <x:c r="F6" s="73" t="n">
        <x:f>E6-D6+1</x:f>
        <x:v>3</x:v>
      </x:c>
      <x:c r="G6" s="71" t="str">
        <x:v>Analista / Equipo</x:v>
      </x:c>
      <x:c r="H6" s="71" t="str">
        <x:v>Completado</x:v>
      </x:c>
      <x:c r="I6" s="74" t="n">
        <x:v>1</x:v>
      </x:c>
      <x:c r="J6" s="71" t="str">
        <x:v>Identificacion de roles y procesos principales.</x:v>
      </x:c>
    </x:row>
    <x:row r="7" ht="25.5" customHeight="1">
      <x:c r="A7" s="71" t="n">
        <x:v>3</x:v>
      </x:c>
      <x:c r="B7" s="71" t="str">
        <x:v>Inicio y analisis</x:v>
      </x:c>
      <x:c r="C7" s="71" t="str">
        <x:v>Definicion de modulos funcionales y alcance del producto</x:v>
      </x:c>
      <x:c r="D7" s="72" t="n">
        <x:v>46087</x:v>
      </x:c>
      <x:c r="E7" s="72" t="n">
        <x:v>46090</x:v>
      </x:c>
      <x:c r="F7" s="73" t="n">
        <x:f>E7-D7+1</x:f>
        <x:v>4</x:v>
      </x:c>
      <x:c r="G7" s="71" t="str">
        <x:v>Equipo de desarrollo</x:v>
      </x:c>
      <x:c r="H7" s="71" t="str">
        <x:v>Completado</x:v>
      </x:c>
      <x:c r="I7" s="74" t="n">
        <x:v>1</x:v>
      </x:c>
      <x:c r="J7" s="71" t="str">
        <x:v>Agenda, pacientes, medicos, recetas, pagos, reportes y auditoria.</x:v>
      </x:c>
    </x:row>
    <x:row r="8" ht="25.5" customHeight="1">
      <x:c r="A8" s="71" t="n">
        <x:v>4</x:v>
      </x:c>
      <x:c r="B8" s="71" t="str">
        <x:v>Inicio y analisis</x:v>
      </x:c>
      <x:c r="C8" s="71" t="str">
        <x:v>Planificacion inicial del repositorio y tecnologia base</x:v>
      </x:c>
      <x:c r="D8" s="72" t="n">
        <x:v>46091</x:v>
      </x:c>
      <x:c r="E8" s="72" t="n">
        <x:v>46093</x:v>
      </x:c>
      <x:c r="F8" s="73" t="n">
        <x:f>E8-D8+1</x:f>
        <x:v>3</x:v>
      </x:c>
      <x:c r="G8" s="71" t="str">
        <x:v>Equipo tecnico</x:v>
      </x:c>
      <x:c r="H8" s="71" t="str">
        <x:v>Completado</x:v>
      </x:c>
      <x:c r="I8" s="74" t="n">
        <x:v>1</x:v>
      </x:c>
      <x:c r="J8" s="71" t="str">
        <x:v>Flask, React, Vite, Tailwind CSS y Supabase.</x:v>
      </x:c>
    </x:row>
    <x:row r="9" ht="25.5" customHeight="1">
      <x:c r="A9" s="71" t="n">
        <x:v>5</x:v>
      </x:c>
      <x:c r="B9" s="71" t="str">
        <x:v>Diseno tecnico</x:v>
      </x:c>
      <x:c r="C9" s="71" t="str">
        <x:v>Diseno de arquitectura backend Flask con Blueprints</x:v>
      </x:c>
      <x:c r="D9" s="72" t="n">
        <x:v>46094</x:v>
      </x:c>
      <x:c r="E9" s="72" t="n">
        <x:v>46097</x:v>
      </x:c>
      <x:c r="F9" s="73" t="n">
        <x:f>E9-D9+1</x:f>
        <x:v>4</x:v>
      </x:c>
      <x:c r="G9" s="71" t="str">
        <x:v>Backend</x:v>
      </x:c>
      <x:c r="H9" s="71" t="str">
        <x:v>Completado</x:v>
      </x:c>
      <x:c r="I9" s="74" t="n">
        <x:v>1</x:v>
      </x:c>
      <x:c r="J9" s="71" t="str">
        <x:v>Factory create_app, rutas, controladores y servicios.</x:v>
      </x:c>
    </x:row>
    <x:row r="10" ht="25.5" customHeight="1">
      <x:c r="A10" s="71" t="n">
        <x:v>6</x:v>
      </x:c>
      <x:c r="B10" s="71" t="str">
        <x:v>Diseno tecnico</x:v>
      </x:c>
      <x:c r="C10" s="71" t="str">
        <x:v>Diseno de frontend React, rutas y layout protegido</x:v>
      </x:c>
      <x:c r="D10" s="72" t="n">
        <x:v>46098</x:v>
      </x:c>
      <x:c r="E10" s="72" t="n">
        <x:v>46101</x:v>
      </x:c>
      <x:c r="F10" s="73" t="n">
        <x:f>E10-D10+1</x:f>
        <x:v>4</x:v>
      </x:c>
      <x:c r="G10" s="71" t="str">
        <x:v>Frontend</x:v>
      </x:c>
      <x:c r="H10" s="71" t="str">
        <x:v>Completado</x:v>
      </x:c>
      <x:c r="I10" s="74" t="n">
        <x:v>1</x:v>
      </x:c>
      <x:c r="J10" s="71" t="str">
        <x:v>SPA con React Router, AuthContext y AppShell.</x:v>
      </x:c>
    </x:row>
    <x:row r="11" ht="25.5" customHeight="1">
      <x:c r="A11" s="71" t="n">
        <x:v>7</x:v>
      </x:c>
      <x:c r="B11" s="71" t="str">
        <x:v>Diseno tecnico</x:v>
      </x:c>
      <x:c r="C11" s="71" t="str">
        <x:v>Modelado de entidades y estructura de datos Supabase</x:v>
      </x:c>
      <x:c r="D11" s="72" t="n">
        <x:v>46102</x:v>
      </x:c>
      <x:c r="E11" s="72" t="n">
        <x:v>46106</x:v>
      </x:c>
      <x:c r="F11" s="73" t="n">
        <x:f>E11-D11+1</x:f>
        <x:v>5</x:v>
      </x:c>
      <x:c r="G11" s="71" t="str">
        <x:v>Backend / Datos</x:v>
      </x:c>
      <x:c r="H11" s="71" t="str">
        <x:v>Completado</x:v>
      </x:c>
      <x:c r="I11" s="74" t="n">
        <x:v>1</x:v>
      </x:c>
      <x:c r="J11" s="71" t="str">
        <x:v>Usuarios, doctores, pacientes, citas, pagos, recetas, notificaciones y auditoria.</x:v>
      </x:c>
    </x:row>
    <x:row r="12" ht="25.5" customHeight="1">
      <x:c r="A12" s="71" t="n">
        <x:v>8</x:v>
      </x:c>
      <x:c r="B12" s="71" t="str">
        <x:v>Diseno tecnico</x:v>
      </x:c>
      <x:c r="C12" s="71" t="str">
        <x:v>Definicion de seguridad, sesiones y control de acceso</x:v>
      </x:c>
      <x:c r="D12" s="72" t="n">
        <x:v>46107</x:v>
      </x:c>
      <x:c r="E12" s="72" t="n">
        <x:v>46109</x:v>
      </x:c>
      <x:c r="F12" s="73" t="n">
        <x:f>E12-D12+1</x:f>
        <x:v>3</x:v>
      </x:c>
      <x:c r="G12" s="71" t="str">
        <x:v>Backend</x:v>
      </x:c>
      <x:c r="H12" s="71" t="str">
        <x:v>Completado</x:v>
      </x:c>
      <x:c r="I12" s="74" t="n">
        <x:v>1</x:v>
      </x:c>
      <x:c r="J12" s="71" t="str">
        <x:v>Cookies HTTPOnly, guardas de autenticacion y roles.</x:v>
      </x:c>
    </x:row>
    <x:row r="13" ht="25.5" customHeight="1">
      <x:c r="A13" s="71" t="n">
        <x:v>9</x:v>
      </x:c>
      <x:c r="B13" s="71" t="str">
        <x:v>Implementacion backend</x:v>
      </x:c>
      <x:c r="C13" s="71" t="str">
        <x:v>Configuracion de aplicacion, entorno y conexion a Supabase</x:v>
      </x:c>
      <x:c r="D13" s="72" t="n">
        <x:v>46110</x:v>
      </x:c>
      <x:c r="E13" s="72" t="n">
        <x:v>46113</x:v>
      </x:c>
      <x:c r="F13" s="73" t="n">
        <x:f>E13-D13+1</x:f>
        <x:v>4</x:v>
      </x:c>
      <x:c r="G13" s="71" t="str">
        <x:v>Backend</x:v>
      </x:c>
      <x:c r="H13" s="71" t="str">
        <x:v>Completado</x:v>
      </x:c>
      <x:c r="I13" s="74" t="n">
        <x:v>1</x:v>
      </x:c>
      <x:c r="J13" s="71" t="str">
        <x:v>AppConfig, DatabaseService y variables de entorno.</x:v>
      </x:c>
    </x:row>
    <x:row r="14" ht="25.5" customHeight="1">
      <x:c r="A14" s="71" t="n">
        <x:v>10</x:v>
      </x:c>
      <x:c r="B14" s="71" t="str">
        <x:v>Implementacion backend</x:v>
      </x:c>
      <x:c r="C14" s="71" t="str">
        <x:v>Modulo de autenticacion y recuperacion de contrasena</x:v>
      </x:c>
      <x:c r="D14" s="72" t="n">
        <x:v>46114</x:v>
      </x:c>
      <x:c r="E14" s="72" t="n">
        <x:v>46117</x:v>
      </x:c>
      <x:c r="F14" s="73" t="n">
        <x:f>E14-D14+1</x:f>
        <x:v>4</x:v>
      </x:c>
      <x:c r="G14" s="71" t="str">
        <x:v>Backend</x:v>
      </x:c>
      <x:c r="H14" s="71" t="str">
        <x:v>Completado</x:v>
      </x:c>
      <x:c r="I14" s="74" t="n">
        <x:v>1</x:v>
      </x:c>
      <x:c r="J14" s="71" t="str">
        <x:v>Login, registro, sesion, codigo de verificacion y nueva contrasena.</x:v>
      </x:c>
    </x:row>
    <x:row r="15" ht="25.5" customHeight="1">
      <x:c r="A15" s="71" t="n">
        <x:v>11</x:v>
      </x:c>
      <x:c r="B15" s="71" t="str">
        <x:v>Implementacion backend</x:v>
      </x:c>
      <x:c r="C15" s="71" t="str">
        <x:v>Modulo de medicos, pacientes y expediente clinico</x:v>
      </x:c>
      <x:c r="D15" s="72" t="n">
        <x:v>46118</x:v>
      </x:c>
      <x:c r="E15" s="72" t="n">
        <x:v>46122</x:v>
      </x:c>
      <x:c r="F15" s="73" t="n">
        <x:f>E15-D15+1</x:f>
        <x:v>5</x:v>
      </x:c>
      <x:c r="G15" s="71" t="str">
        <x:v>Backend</x:v>
      </x:c>
      <x:c r="H15" s="71" t="str">
        <x:v>Completado</x:v>
      </x:c>
      <x:c r="I15" s="74" t="n">
        <x:v>1</x:v>
      </x:c>
      <x:c r="J15" s="71" t="str">
        <x:v>CRUD, busqueda, historia clinica, signos vitales y documentos.</x:v>
      </x:c>
    </x:row>
    <x:row r="16" ht="25.5" customHeight="1">
      <x:c r="A16" s="71" t="n">
        <x:v>12</x:v>
      </x:c>
      <x:c r="B16" s="71" t="str">
        <x:v>Implementacion backend</x:v>
      </x:c>
      <x:c r="C16" s="71" t="str">
        <x:v>Modulo de agenda, horarios y disponibilidad</x:v>
      </x:c>
      <x:c r="D16" s="72" t="n">
        <x:v>46123</x:v>
      </x:c>
      <x:c r="E16" s="72" t="n">
        <x:v>46127</x:v>
      </x:c>
      <x:c r="F16" s="73" t="n">
        <x:f>E16-D16+1</x:f>
        <x:v>5</x:v>
      </x:c>
      <x:c r="G16" s="71" t="str">
        <x:v>Backend</x:v>
      </x:c>
      <x:c r="H16" s="71" t="str">
        <x:v>Completado</x:v>
      </x:c>
      <x:c r="I16" s="74" t="n">
        <x:v>1</x:v>
      </x:c>
      <x:c r="J16" s="71" t="str">
        <x:v>Citas, slots, bloqueos, recesos, cancelacion y reagendamiento.</x:v>
      </x:c>
    </x:row>
    <x:row r="17" ht="25.5" customHeight="1">
      <x:c r="A17" s="71" t="n">
        <x:v>13</x:v>
      </x:c>
      <x:c r="B17" s="71" t="str">
        <x:v>Implementacion backend</x:v>
      </x:c>
      <x:c r="C17" s="71" t="str">
        <x:v>Modulo de recetas medicas</x:v>
      </x:c>
      <x:c r="D17" s="72" t="n">
        <x:v>46128</x:v>
      </x:c>
      <x:c r="E17" s="72" t="n">
        <x:v>46130</x:v>
      </x:c>
      <x:c r="F17" s="73" t="n">
        <x:f>E17-D17+1</x:f>
        <x:v>3</x:v>
      </x:c>
      <x:c r="G17" s="71" t="str">
        <x:v>Backend</x:v>
      </x:c>
      <x:c r="H17" s="71" t="str">
        <x:v>Completado</x:v>
      </x:c>
      <x:c r="I17" s="74" t="n">
        <x:v>1</x:v>
      </x:c>
      <x:c r="J17" s="71" t="str">
        <x:v>Creacion, consulta, detalle de medicamentos e instrucciones.</x:v>
      </x:c>
    </x:row>
    <x:row r="18" ht="25.5" customHeight="1">
      <x:c r="A18" s="71" t="n">
        <x:v>14</x:v>
      </x:c>
      <x:c r="B18" s="71" t="str">
        <x:v>Implementacion backend</x:v>
      </x:c>
      <x:c r="C18" s="71" t="str">
        <x:v>Modulo de pagos, recibos, reembolsos y pago online</x:v>
      </x:c>
      <x:c r="D18" s="72" t="n">
        <x:v>46131</x:v>
      </x:c>
      <x:c r="E18" s="72" t="n">
        <x:v>46134</x:v>
      </x:c>
      <x:c r="F18" s="73" t="n">
        <x:f>E18-D18+1</x:f>
        <x:v>4</x:v>
      </x:c>
      <x:c r="G18" s="71" t="str">
        <x:v>Backend</x:v>
      </x:c>
      <x:c r="H18" s="71" t="str">
        <x:v>Completado</x:v>
      </x:c>
      <x:c r="I18" s="74" t="n">
        <x:v>1</x:v>
      </x:c>
      <x:c r="J18" s="71" t="str">
        <x:v>Pagos manuales, Stripe Checkout opcional y estados financieros.</x:v>
      </x:c>
    </x:row>
    <x:row r="19" ht="25.5" customHeight="1">
      <x:c r="A19" s="71" t="n">
        <x:v>15</x:v>
      </x:c>
      <x:c r="B19" s="71" t="str">
        <x:v>Implementacion backend</x:v>
      </x:c>
      <x:c r="C19" s="71" t="str">
        <x:v>Reportes, notificaciones, auditoria y configuracion</x:v>
      </x:c>
      <x:c r="D19" s="72" t="n">
        <x:v>46135</x:v>
      </x:c>
      <x:c r="E19" s="72" t="n">
        <x:v>46138</x:v>
      </x:c>
      <x:c r="F19" s="73" t="n">
        <x:f>E19-D19+1</x:f>
        <x:v>4</x:v>
      </x:c>
      <x:c r="G19" s="71" t="str">
        <x:v>Backend</x:v>
      </x:c>
      <x:c r="H19" s="71" t="str">
        <x:v>Completado</x:v>
      </x:c>
      <x:c r="I19" s="74" t="n">
        <x:v>1</x:v>
      </x:c>
      <x:c r="J19" s="71" t="str">
        <x:v>KPIs, exportaciones, recordatorios, bitacora y ajustes del sistema.</x:v>
      </x:c>
    </x:row>
    <x:row r="20" ht="25.5" customHeight="1">
      <x:c r="A20" s="71" t="n">
        <x:v>16</x:v>
      </x:c>
      <x:c r="B20" s="71" t="str">
        <x:v>Implementacion frontend</x:v>
      </x:c>
      <x:c r="C20" s="71" t="str">
        <x:v>Estructura React, rutas protegidas y contexto de autenticacion</x:v>
      </x:c>
      <x:c r="D20" s="72" t="n">
        <x:v>46114</x:v>
      </x:c>
      <x:c r="E20" s="72" t="n">
        <x:v>46118</x:v>
      </x:c>
      <x:c r="F20" s="73" t="n">
        <x:f>E20-D20+1</x:f>
        <x:v>5</x:v>
      </x:c>
      <x:c r="G20" s="71" t="str">
        <x:v>Frontend</x:v>
      </x:c>
      <x:c r="H20" s="71" t="str">
        <x:v>Completado</x:v>
      </x:c>
      <x:c r="I20" s="74" t="n">
        <x:v>1</x:v>
      </x:c>
      <x:c r="J20" s="71" t="str">
        <x:v>App.jsx, AuthContext y ProtectedRoute.</x:v>
      </x:c>
    </x:row>
    <x:row r="21" ht="25.5" customHeight="1">
      <x:c r="A21" s="71" t="n">
        <x:v>17</x:v>
      </x:c>
      <x:c r="B21" s="71" t="str">
        <x:v>Implementacion frontend</x:v>
      </x:c>
      <x:c r="C21" s="71" t="str">
        <x:v>Pantallas de login, registro y recuperacion de contrasena</x:v>
      </x:c>
      <x:c r="D21" s="72" t="n">
        <x:v>46119</x:v>
      </x:c>
      <x:c r="E21" s="72" t="n">
        <x:v>46122</x:v>
      </x:c>
      <x:c r="F21" s="73" t="n">
        <x:f>E21-D21+1</x:f>
        <x:v>4</x:v>
      </x:c>
      <x:c r="G21" s="71" t="str">
        <x:v>Frontend</x:v>
      </x:c>
      <x:c r="H21" s="71" t="str">
        <x:v>Completado</x:v>
      </x:c>
      <x:c r="I21" s="74" t="n">
        <x:v>1</x:v>
      </x:c>
      <x:c r="J21" s="71" t="str">
        <x:v>Flujos de acceso y restablecimiento.</x:v>
      </x:c>
    </x:row>
    <x:row r="22" ht="25.5" customHeight="1">
      <x:c r="A22" s="71" t="n">
        <x:v>18</x:v>
      </x:c>
      <x:c r="B22" s="71" t="str">
        <x:v>Implementacion frontend</x:v>
      </x:c>
      <x:c r="C22" s="71" t="str">
        <x:v>Dashboard, agenda y gestion de horarios</x:v>
      </x:c>
      <x:c r="D22" s="72" t="n">
        <x:v>46123</x:v>
      </x:c>
      <x:c r="E22" s="72" t="n">
        <x:v>46128</x:v>
      </x:c>
      <x:c r="F22" s="73" t="n">
        <x:f>E22-D22+1</x:f>
        <x:v>6</x:v>
      </x:c>
      <x:c r="G22" s="71" t="str">
        <x:v>Frontend</x:v>
      </x:c>
      <x:c r="H22" s="71" t="str">
        <x:v>Completado</x:v>
      </x:c>
      <x:c r="I22" s="74" t="n">
        <x:v>1</x:v>
      </x:c>
      <x:c r="J22" s="71" t="str">
        <x:v>Metricas, calendario, disponibilidad y slots.</x:v>
      </x:c>
    </x:row>
    <x:row r="23" ht="25.5" customHeight="1">
      <x:c r="A23" s="71" t="n">
        <x:v>19</x:v>
      </x:c>
      <x:c r="B23" s="71" t="str">
        <x:v>Implementacion frontend</x:v>
      </x:c>
      <x:c r="C23" s="71" t="str">
        <x:v>Pantallas de medicos y pacientes</x:v>
      </x:c>
      <x:c r="D23" s="72" t="n">
        <x:v>46129</x:v>
      </x:c>
      <x:c r="E23" s="72" t="n">
        <x:v>46132</x:v>
      </x:c>
      <x:c r="F23" s="73" t="n">
        <x:f>E23-D23+1</x:f>
        <x:v>4</x:v>
      </x:c>
      <x:c r="G23" s="71" t="str">
        <x:v>Frontend</x:v>
      </x:c>
      <x:c r="H23" s="71" t="str">
        <x:v>Completado</x:v>
      </x:c>
      <x:c r="I23" s="74" t="n">
        <x:v>1</x:v>
      </x:c>
      <x:c r="J23" s="71" t="str">
        <x:v>Listados, formularios, detalle y expediente.</x:v>
      </x:c>
    </x:row>
    <x:row r="24" ht="25.5" customHeight="1">
      <x:c r="A24" s="71" t="n">
        <x:v>20</x:v>
      </x:c>
      <x:c r="B24" s="71" t="str">
        <x:v>Implementacion frontend</x:v>
      </x:c>
      <x:c r="C24" s="71" t="str">
        <x:v>Pagos, recetas, reportes, notificaciones y configuracion</x:v>
      </x:c>
      <x:c r="D24" s="72" t="n">
        <x:v>46133</x:v>
      </x:c>
      <x:c r="E24" s="72" t="n">
        <x:v>46137</x:v>
      </x:c>
      <x:c r="F24" s="73" t="n">
        <x:f>E24-D24+1</x:f>
        <x:v>5</x:v>
      </x:c>
      <x:c r="G24" s="71" t="str">
        <x:v>Frontend</x:v>
      </x:c>
      <x:c r="H24" s="71" t="str">
        <x:v>Completado</x:v>
      </x:c>
      <x:c r="I24" s="74" t="n">
        <x:v>1</x:v>
      </x:c>
      <x:c r="J24" s="71" t="str">
        <x:v>Modulos operativos y administrativos restantes.</x:v>
      </x:c>
    </x:row>
    <x:row r="25" ht="25.5" customHeight="1">
      <x:c r="A25" s="71" t="n">
        <x:v>21</x:v>
      </x:c>
      <x:c r="B25" s="71" t="str">
        <x:v>Integracion y pruebas</x:v>
      </x:c>
      <x:c r="C25" s="71" t="str">
        <x:v>Integracion frontend-backend mediante clientes API</x:v>
      </x:c>
      <x:c r="D25" s="72" t="n">
        <x:v>46129</x:v>
      </x:c>
      <x:c r="E25" s="72" t="n">
        <x:v>46134</x:v>
      </x:c>
      <x:c r="F25" s="73" t="n">
        <x:f>E25-D25+1</x:f>
        <x:v>6</x:v>
      </x:c>
      <x:c r="G25" s="71" t="str">
        <x:v>Full stack</x:v>
      </x:c>
      <x:c r="H25" s="71" t="str">
        <x:v>Completado</x:v>
      </x:c>
      <x:c r="I25" s="74" t="n">
        <x:v>1</x:v>
      </x:c>
      <x:c r="J25" s="71" t="str">
        <x:v>fetch con credentials include y endpoints JSON.</x:v>
      </x:c>
    </x:row>
    <x:row r="26" ht="25.5" customHeight="1">
      <x:c r="A26" s="71" t="n">
        <x:v>22</x:v>
      </x:c>
      <x:c r="B26" s="71" t="str">
        <x:v>Integracion y pruebas</x:v>
      </x:c>
      <x:c r="C26" s="71" t="str">
        <x:v>Validacion de flujos criticos de agenda y pacientes</x:v>
      </x:c>
      <x:c r="D26" s="72" t="n">
        <x:v>46135</x:v>
      </x:c>
      <x:c r="E26" s="72" t="n">
        <x:v>46137</x:v>
      </x:c>
      <x:c r="F26" s="73" t="n">
        <x:f>E26-D26+1</x:f>
        <x:v>3</x:v>
      </x:c>
      <x:c r="G26" s="71" t="str">
        <x:v>QA / Equipo</x:v>
      </x:c>
      <x:c r="H26" s="71" t="str">
        <x:v>Completado</x:v>
      </x:c>
      <x:c r="I26" s="74" t="n">
        <x:v>1</x:v>
      </x:c>
      <x:c r="J26" s="71" t="str">
        <x:v>Registro, consulta, edicion y disponibilidad.</x:v>
      </x:c>
    </x:row>
    <x:row r="27" ht="25.5" customHeight="1">
      <x:c r="A27" s="71" t="n">
        <x:v>23</x:v>
      </x:c>
      <x:c r="B27" s="71" t="str">
        <x:v>Integracion y pruebas</x:v>
      </x:c>
      <x:c r="C27" s="71" t="str">
        <x:v>Validacion de pagos, reportes y notificaciones</x:v>
      </x:c>
      <x:c r="D27" s="72" t="n">
        <x:v>46138</x:v>
      </x:c>
      <x:c r="E27" s="72" t="n">
        <x:v>46140</x:v>
      </x:c>
      <x:c r="F27" s="73" t="n">
        <x:f>E27-D27+1</x:f>
        <x:v>3</x:v>
      </x:c>
      <x:c r="G27" s="71" t="str">
        <x:v>QA / Equipo</x:v>
      </x:c>
      <x:c r="H27" s="71" t="str">
        <x:v>Completado</x:v>
      </x:c>
      <x:c r="I27" s="74" t="n">
        <x:v>1</x:v>
      </x:c>
      <x:c r="J27" s="71" t="str">
        <x:v>Recibos, exportaciones, alertas y auditoria.</x:v>
      </x:c>
    </x:row>
    <x:row r="28" ht="25.5" customHeight="1">
      <x:c r="A28" s="71" t="n">
        <x:v>24</x:v>
      </x:c>
      <x:c r="B28" s="71" t="str">
        <x:v>Integracion y pruebas</x:v>
      </x:c>
      <x:c r="C28" s="71" t="str">
        <x:v>Ajustes finales de seguridad, sesiones y configuracion</x:v>
      </x:c>
      <x:c r="D28" s="72" t="n">
        <x:v>46141</x:v>
      </x:c>
      <x:c r="E28" s="72" t="n">
        <x:v>46142</x:v>
      </x:c>
      <x:c r="F28" s="73" t="n">
        <x:f>E28-D28+1</x:f>
        <x:v>2</x:v>
      </x:c>
      <x:c r="G28" s="71" t="str">
        <x:v>Backend</x:v>
      </x:c>
      <x:c r="H28" s="71" t="str">
        <x:v>Completado</x:v>
      </x:c>
      <x:c r="I28" s="74" t="n">
        <x:v>1</x:v>
      </x:c>
      <x:c r="J28" s="71" t="str">
        <x:v>CORS, cookies, entorno y worker de recordatorios.</x:v>
      </x:c>
    </x:row>
    <x:row r="29" ht="25.5" customHeight="1">
      <x:c r="A29" s="71" t="n">
        <x:v>25</x:v>
      </x:c>
      <x:c r="B29" s="71" t="str">
        <x:v>Documentacion y entrega</x:v>
      </x:c>
      <x:c r="C29" s="71" t="str">
        <x:v>Elaboracion de acta general del proyecto</x:v>
      </x:c>
      <x:c r="D29" s="72" t="n">
        <x:v>46139</x:v>
      </x:c>
      <x:c r="E29" s="72" t="n">
        <x:v>46139</x:v>
      </x:c>
      <x:c r="F29" s="73" t="n">
        <x:f>E29-D29+1</x:f>
        <x:v>1</x:v>
      </x:c>
      <x:c r="G29" s="71" t="str">
        <x:v>Documentacion</x:v>
      </x:c>
      <x:c r="H29" s="71" t="str">
        <x:v>Completado</x:v>
      </x:c>
      <x:c r="I29" s="74" t="n">
        <x:v>1</x:v>
      </x:c>
      <x:c r="J29" s="71" t="str">
        <x:v>Acta del proyecto MedApp.</x:v>
      </x:c>
    </x:row>
    <x:row r="30" ht="25.5" customHeight="1">
      <x:c r="A30" s="71" t="n">
        <x:v>26</x:v>
      </x:c>
      <x:c r="B30" s="71" t="str">
        <x:v>Documentacion y entrega</x:v>
      </x:c>
      <x:c r="C30" s="71" t="str">
        <x:v>Elaboracion de manual tecnico</x:v>
      </x:c>
      <x:c r="D30" s="72" t="n">
        <x:v>46142</x:v>
      </x:c>
      <x:c r="E30" s="72" t="n">
        <x:v>46142</x:v>
      </x:c>
      <x:c r="F30" s="73" t="n">
        <x:f>E30-D30+1</x:f>
        <x:v>1</x:v>
      </x:c>
      <x:c r="G30" s="71" t="str">
        <x:v>Documentacion</x:v>
      </x:c>
      <x:c r="H30" s="71" t="str">
        <x:v>Completado</x:v>
      </x:c>
      <x:c r="I30" s="74" t="n">
        <x:v>1</x:v>
      </x:c>
      <x:c r="J30" s="71" t="str">
        <x:v>Arquitectura, instalacion, configuracion y mantenimiento.</x:v>
      </x:c>
    </x:row>
    <x:row r="31" ht="25.5" customHeight="1">
      <x:c r="A31" s="71" t="n">
        <x:v>27</x:v>
      </x:c>
      <x:c r="B31" s="71" t="str">
        <x:v>Documentacion y entrega</x:v>
      </x:c>
      <x:c r="C31" s="71" t="str">
        <x:v>Construccion de cronograma profesional del proyecto</x:v>
      </x:c>
      <x:c r="D31" s="72" t="n">
        <x:v>46142</x:v>
      </x:c>
      <x:c r="E31" s="72" t="n">
        <x:v>46142</x:v>
      </x:c>
      <x:c r="F31" s="73" t="n">
        <x:f>E31-D31+1</x:f>
        <x:v>1</x:v>
      </x:c>
      <x:c r="G31" s="71" t="str">
        <x:v>Documentacion</x:v>
      </x:c>
      <x:c r="H31" s="71" t="str">
        <x:v>Completado</x:v>
      </x:c>
      <x:c r="I31" s="74" t="n">
        <x:v>1</x:v>
      </x:c>
      <x:c r="J31" s="71" t="str">
        <x:v>Cronograma basado en fases reales del sistema.</x:v>
      </x:c>
    </x:row>
    <x:row r="32" ht="25.5" customHeight="1">
      <x:c r="A32" s="71" t="n">
        <x:v>28</x:v>
      </x:c>
      <x:c r="B32" s="71" t="str">
        <x:v>Documentacion y entrega</x:v>
      </x:c>
      <x:c r="C32" s="71" t="str">
        <x:v>Revision final y preparacion de entrega academica</x:v>
      </x:c>
      <x:c r="D32" s="72" t="n">
        <x:v>46143</x:v>
      </x:c>
      <x:c r="E32" s="72" t="n">
        <x:v>46145</x:v>
      </x:c>
      <x:c r="F32" s="73" t="n">
        <x:f>E32-D32+1</x:f>
        <x:v>3</x:v>
      </x:c>
      <x:c r="G32" s="71" t="str">
        <x:v>Equipo completo</x:v>
      </x:c>
      <x:c r="H32" s="71" t="str">
        <x:v>Pendiente</x:v>
      </x:c>
      <x:c r="I32" s="74" t="n">
        <x:v>0</x:v>
      </x:c>
      <x:c r="J32" s="71" t="str">
        <x:v>Completar datos institucionales, firmas y entrega final.</x:v>
      </x:c>
    </x:row>
  </x:sheetData>
  <x:mergeCells>
    <x:mergeCell ref="A1:H1"/>
    <x:mergeCell ref="A2:H2"/>
  </x:mergeCells>
  <x:conditionalFormatting sqref="H5:H32">
    <x:cfRule type="containsText" dxfId="0" priority="1" operator="containsText" text="Completado"/>
    <x:cfRule type="containsText" dxfId="1" priority="2" operator="containsText" text="Pendiente"/>
  </x:conditionalFormatting>
  <x:conditionalFormatting sqref="I5:I32">
    <x:cfRule type="dataBar" priority="3">
      <x:dataBar>
        <x:cfvo type="min"/>
        <x:cfvo type="max"/>
        <x:color rgb="2E86C1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a3d9b83a84374ba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980000019073486" hidden="0" customWidth="1"/>
    <x:col min="2" max="2" width="16.81999969482422" hidden="0" customWidth="1"/>
    <x:col min="3" max="3" width="37.689998626708984" hidden="0" customWidth="1"/>
    <x:col min="4" max="4" width="9.5600004196167" hidden="0" customWidth="1"/>
    <x:col min="5" max="5" width="9.5600004196167" hidden="0" customWidth="1"/>
    <x:col min="6" max="6" width="14.800000190734863" hidden="0" customWidth="1"/>
    <x:col min="7" max="7" width="5.25" hidden="0" customWidth="1"/>
    <x:col min="8" max="8" width="5.25" hidden="0" customWidth="1"/>
    <x:col min="9" max="9" width="5.25" hidden="0" customWidth="1"/>
    <x:col min="10" max="10" width="5.25" hidden="0" customWidth="1"/>
    <x:col min="11" max="11" width="5.25" hidden="0" customWidth="1"/>
    <x:col min="12" max="12" width="5.25" hidden="0" customWidth="1"/>
    <x:col min="13" max="13" width="5.25" hidden="0" customWidth="1"/>
    <x:col min="14" max="14" width="5.25" hidden="0" customWidth="1"/>
    <x:col min="15" max="15" width="5.25" hidden="0" customWidth="1"/>
    <x:col min="16" max="16" width="5.25" hidden="0" customWidth="1"/>
  </x:cols>
  <x:sheetData>
    <x:row r="1" ht="27" customHeight="1">
      <x:c r="A1" s="75" t="str">
        <x:v>Vista Gantt semanal - Proyecto MedApp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58"/>
      <x:c r="P1" s="58"/>
    </x:row>
    <x:row r="2">
      <x:c r="A2" s="58"/>
      <x:c r="B2" s="58"/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  <x:c r="O2" s="58"/>
      <x:c r="P2" s="58"/>
    </x:row>
    <x:row r="3">
      <x:c r="A3" s="76" t="str">
        <x:v>No.</x:v>
      </x:c>
      <x:c r="B3" s="76" t="str">
        <x:v>Fase</x:v>
      </x:c>
      <x:c r="C3" s="76" t="str">
        <x:v>Actividad</x:v>
      </x:c>
      <x:c r="D3" s="76" t="str">
        <x:v>Inicio</x:v>
      </x:c>
      <x:c r="E3" s="76" t="str">
        <x:v>Fin</x:v>
      </x:c>
      <x:c r="F3" s="76" t="str">
        <x:v>Responsable</x:v>
      </x:c>
      <x:c r="G3" s="76" t="str">
        <x:v>S1
27/02/2026</x:v>
      </x:c>
      <x:c r="H3" s="76" t="str">
        <x:v>S2
06/03/2026</x:v>
      </x:c>
      <x:c r="I3" s="76" t="str">
        <x:v>S3
13/03/2026</x:v>
      </x:c>
      <x:c r="J3" s="76" t="str">
        <x:v>S4
20/03/2026</x:v>
      </x:c>
      <x:c r="K3" s="76" t="str">
        <x:v>S5
27/03/2026</x:v>
      </x:c>
      <x:c r="L3" s="76" t="str">
        <x:v>S6
03/04/2026</x:v>
      </x:c>
      <x:c r="M3" s="76" t="str">
        <x:v>S7
10/04/2026</x:v>
      </x:c>
      <x:c r="N3" s="76" t="str">
        <x:v>S8
17/04/2026</x:v>
      </x:c>
      <x:c r="O3" s="76" t="str">
        <x:v>S9
24/04/2026</x:v>
      </x:c>
      <x:c r="P3" s="76" t="str">
        <x:v>S10
01/05/2026</x:v>
      </x:c>
    </x:row>
    <x:row r="4">
      <x:c r="A4" s="77" t="n">
        <x:v>1</x:v>
      </x:c>
      <x:c r="B4" s="78" t="str">
        <x:v>Inicio y analisis</x:v>
      </x:c>
      <x:c r="C4" s="78" t="str">
        <x:v>Levantamiento de alcance y objetivos del sistema</x:v>
      </x:c>
      <x:c r="D4" s="79" t="n">
        <x:v>46080</x:v>
      </x:c>
      <x:c r="E4" s="79" t="n">
        <x:v>46083</x:v>
      </x:c>
      <x:c r="F4" s="77" t="str">
        <x:v>Analista / Equipo</x:v>
      </x:c>
      <x:c r="G4" s="80" t="str">
        <x:v>■</x:v>
      </x:c>
      <x:c r="H4" s="80" t="str"/>
      <x:c r="I4" s="80" t="str"/>
      <x:c r="J4" s="80" t="str"/>
      <x:c r="K4" s="80" t="str"/>
      <x:c r="L4" s="80" t="str"/>
      <x:c r="M4" s="80" t="str"/>
      <x:c r="N4" s="80" t="str"/>
      <x:c r="O4" s="80" t="str"/>
      <x:c r="P4" s="80" t="str"/>
    </x:row>
    <x:row r="5">
      <x:c r="A5" s="77" t="n">
        <x:v>2</x:v>
      </x:c>
      <x:c r="B5" s="78" t="str">
        <x:v>Inicio y analisis</x:v>
      </x:c>
      <x:c r="C5" s="78" t="str">
        <x:v>Revision de necesidades de usuarios: administradores, staff, medicos y pacientes</x:v>
      </x:c>
      <x:c r="D5" s="79" t="n">
        <x:v>46084</x:v>
      </x:c>
      <x:c r="E5" s="79" t="n">
        <x:v>46086</x:v>
      </x:c>
      <x:c r="F5" s="77" t="str">
        <x:v>Analista / Equipo</x:v>
      </x:c>
      <x:c r="G5" s="80" t="str">
        <x:v>■</x:v>
      </x:c>
      <x:c r="H5" s="80" t="str"/>
      <x:c r="I5" s="80" t="str"/>
      <x:c r="J5" s="80" t="str"/>
      <x:c r="K5" s="80" t="str"/>
      <x:c r="L5" s="80" t="str"/>
      <x:c r="M5" s="80" t="str"/>
      <x:c r="N5" s="80" t="str"/>
      <x:c r="O5" s="80" t="str"/>
      <x:c r="P5" s="80" t="str"/>
    </x:row>
    <x:row r="6">
      <x:c r="A6" s="77" t="n">
        <x:v>3</x:v>
      </x:c>
      <x:c r="B6" s="78" t="str">
        <x:v>Inicio y analisis</x:v>
      </x:c>
      <x:c r="C6" s="78" t="str">
        <x:v>Definicion de modulos funcionales y alcance del producto</x:v>
      </x:c>
      <x:c r="D6" s="79" t="n">
        <x:v>46087</x:v>
      </x:c>
      <x:c r="E6" s="79" t="n">
        <x:v>46090</x:v>
      </x:c>
      <x:c r="F6" s="77" t="str">
        <x:v>Equipo de desarrollo</x:v>
      </x:c>
      <x:c r="G6" s="80" t="str"/>
      <x:c r="H6" s="80" t="str">
        <x:v>■</x:v>
      </x:c>
      <x:c r="I6" s="80" t="str"/>
      <x:c r="J6" s="80" t="str"/>
      <x:c r="K6" s="80" t="str"/>
      <x:c r="L6" s="80" t="str"/>
      <x:c r="M6" s="80" t="str"/>
      <x:c r="N6" s="80" t="str"/>
      <x:c r="O6" s="80" t="str"/>
      <x:c r="P6" s="80" t="str"/>
    </x:row>
    <x:row r="7">
      <x:c r="A7" s="77" t="n">
        <x:v>4</x:v>
      </x:c>
      <x:c r="B7" s="78" t="str">
        <x:v>Inicio y analisis</x:v>
      </x:c>
      <x:c r="C7" s="78" t="str">
        <x:v>Planificacion inicial del repositorio y tecnologia base</x:v>
      </x:c>
      <x:c r="D7" s="79" t="n">
        <x:v>46091</x:v>
      </x:c>
      <x:c r="E7" s="79" t="n">
        <x:v>46093</x:v>
      </x:c>
      <x:c r="F7" s="77" t="str">
        <x:v>Equipo tecnico</x:v>
      </x:c>
      <x:c r="G7" s="80" t="str"/>
      <x:c r="H7" s="80" t="str">
        <x:v>■</x:v>
      </x:c>
      <x:c r="I7" s="80" t="str"/>
      <x:c r="J7" s="80" t="str"/>
      <x:c r="K7" s="80" t="str"/>
      <x:c r="L7" s="80" t="str"/>
      <x:c r="M7" s="80" t="str"/>
      <x:c r="N7" s="80" t="str"/>
      <x:c r="O7" s="80" t="str"/>
      <x:c r="P7" s="80" t="str"/>
    </x:row>
    <x:row r="8">
      <x:c r="A8" s="77" t="n">
        <x:v>5</x:v>
      </x:c>
      <x:c r="B8" s="81" t="str">
        <x:v>Diseno tecnico</x:v>
      </x:c>
      <x:c r="C8" s="81" t="str">
        <x:v>Diseno de arquitectura backend Flask con Blueprints</x:v>
      </x:c>
      <x:c r="D8" s="79" t="n">
        <x:v>46094</x:v>
      </x:c>
      <x:c r="E8" s="79" t="n">
        <x:v>46097</x:v>
      </x:c>
      <x:c r="F8" s="77" t="str">
        <x:v>Backend</x:v>
      </x:c>
      <x:c r="G8" s="80" t="str"/>
      <x:c r="H8" s="80" t="str"/>
      <x:c r="I8" s="80" t="str">
        <x:v>■</x:v>
      </x:c>
      <x:c r="J8" s="80" t="str"/>
      <x:c r="K8" s="80" t="str"/>
      <x:c r="L8" s="80" t="str"/>
      <x:c r="M8" s="80" t="str"/>
      <x:c r="N8" s="80" t="str"/>
      <x:c r="O8" s="80" t="str"/>
      <x:c r="P8" s="80" t="str"/>
    </x:row>
    <x:row r="9">
      <x:c r="A9" s="77" t="n">
        <x:v>6</x:v>
      </x:c>
      <x:c r="B9" s="81" t="str">
        <x:v>Diseno tecnico</x:v>
      </x:c>
      <x:c r="C9" s="81" t="str">
        <x:v>Diseno de frontend React, rutas y layout protegido</x:v>
      </x:c>
      <x:c r="D9" s="79" t="n">
        <x:v>46098</x:v>
      </x:c>
      <x:c r="E9" s="79" t="n">
        <x:v>46101</x:v>
      </x:c>
      <x:c r="F9" s="77" t="str">
        <x:v>Frontend</x:v>
      </x:c>
      <x:c r="G9" s="80" t="str"/>
      <x:c r="H9" s="80" t="str"/>
      <x:c r="I9" s="80" t="str">
        <x:v>■</x:v>
      </x:c>
      <x:c r="J9" s="80" t="str">
        <x:v>■</x:v>
      </x:c>
      <x:c r="K9" s="80" t="str"/>
      <x:c r="L9" s="80" t="str"/>
      <x:c r="M9" s="80" t="str"/>
      <x:c r="N9" s="80" t="str"/>
      <x:c r="O9" s="80" t="str"/>
      <x:c r="P9" s="80" t="str"/>
    </x:row>
    <x:row r="10">
      <x:c r="A10" s="77" t="n">
        <x:v>7</x:v>
      </x:c>
      <x:c r="B10" s="81" t="str">
        <x:v>Diseno tecnico</x:v>
      </x:c>
      <x:c r="C10" s="81" t="str">
        <x:v>Modelado de entidades y estructura de datos Supabase</x:v>
      </x:c>
      <x:c r="D10" s="79" t="n">
        <x:v>46102</x:v>
      </x:c>
      <x:c r="E10" s="79" t="n">
        <x:v>46106</x:v>
      </x:c>
      <x:c r="F10" s="77" t="str">
        <x:v>Backend / Datos</x:v>
      </x:c>
      <x:c r="G10" s="80" t="str"/>
      <x:c r="H10" s="80" t="str"/>
      <x:c r="I10" s="80" t="str"/>
      <x:c r="J10" s="80" t="str">
        <x:v>■</x:v>
      </x:c>
      <x:c r="K10" s="80" t="str"/>
      <x:c r="L10" s="80" t="str"/>
      <x:c r="M10" s="80" t="str"/>
      <x:c r="N10" s="80" t="str"/>
      <x:c r="O10" s="80" t="str"/>
      <x:c r="P10" s="80" t="str"/>
    </x:row>
    <x:row r="11">
      <x:c r="A11" s="77" t="n">
        <x:v>8</x:v>
      </x:c>
      <x:c r="B11" s="81" t="str">
        <x:v>Diseno tecnico</x:v>
      </x:c>
      <x:c r="C11" s="81" t="str">
        <x:v>Definicion de seguridad, sesiones y control de acceso</x:v>
      </x:c>
      <x:c r="D11" s="79" t="n">
        <x:v>46107</x:v>
      </x:c>
      <x:c r="E11" s="79" t="n">
        <x:v>46109</x:v>
      </x:c>
      <x:c r="F11" s="77" t="str">
        <x:v>Backend</x:v>
      </x:c>
      <x:c r="G11" s="80" t="str"/>
      <x:c r="H11" s="80" t="str"/>
      <x:c r="I11" s="80" t="str"/>
      <x:c r="J11" s="80" t="str">
        <x:v>■</x:v>
      </x:c>
      <x:c r="K11" s="80" t="str">
        <x:v>■</x:v>
      </x:c>
      <x:c r="L11" s="80" t="str"/>
      <x:c r="M11" s="80" t="str"/>
      <x:c r="N11" s="80" t="str"/>
      <x:c r="O11" s="80" t="str"/>
      <x:c r="P11" s="80" t="str"/>
    </x:row>
    <x:row r="12">
      <x:c r="A12" s="77" t="n">
        <x:v>9</x:v>
      </x:c>
      <x:c r="B12" s="82" t="str">
        <x:v>Implementacion backend</x:v>
      </x:c>
      <x:c r="C12" s="82" t="str">
        <x:v>Configuracion de aplicacion, entorno y conexion a Supabase</x:v>
      </x:c>
      <x:c r="D12" s="79" t="n">
        <x:v>46110</x:v>
      </x:c>
      <x:c r="E12" s="79" t="n">
        <x:v>46113</x:v>
      </x:c>
      <x:c r="F12" s="77" t="str">
        <x:v>Backend</x:v>
      </x:c>
      <x:c r="G12" s="80" t="str"/>
      <x:c r="H12" s="80" t="str"/>
      <x:c r="I12" s="80" t="str"/>
      <x:c r="J12" s="80" t="str"/>
      <x:c r="K12" s="80" t="str">
        <x:v>■</x:v>
      </x:c>
      <x:c r="L12" s="80" t="str"/>
      <x:c r="M12" s="80" t="str"/>
      <x:c r="N12" s="80" t="str"/>
      <x:c r="O12" s="80" t="str"/>
      <x:c r="P12" s="80" t="str"/>
    </x:row>
    <x:row r="13">
      <x:c r="A13" s="77" t="n">
        <x:v>10</x:v>
      </x:c>
      <x:c r="B13" s="82" t="str">
        <x:v>Implementacion backend</x:v>
      </x:c>
      <x:c r="C13" s="82" t="str">
        <x:v>Modulo de autenticacion y recuperacion de contrasena</x:v>
      </x:c>
      <x:c r="D13" s="79" t="n">
        <x:v>46114</x:v>
      </x:c>
      <x:c r="E13" s="79" t="n">
        <x:v>46117</x:v>
      </x:c>
      <x:c r="F13" s="77" t="str">
        <x:v>Backend</x:v>
      </x:c>
      <x:c r="G13" s="80" t="str"/>
      <x:c r="H13" s="80" t="str"/>
      <x:c r="I13" s="80" t="str"/>
      <x:c r="J13" s="80" t="str"/>
      <x:c r="K13" s="80" t="str">
        <x:v>■</x:v>
      </x:c>
      <x:c r="L13" s="80" t="str">
        <x:v>■</x:v>
      </x:c>
      <x:c r="M13" s="80" t="str"/>
      <x:c r="N13" s="80" t="str"/>
      <x:c r="O13" s="80" t="str"/>
      <x:c r="P13" s="80" t="str"/>
    </x:row>
    <x:row r="14">
      <x:c r="A14" s="77" t="n">
        <x:v>11</x:v>
      </x:c>
      <x:c r="B14" s="82" t="str">
        <x:v>Implementacion backend</x:v>
      </x:c>
      <x:c r="C14" s="82" t="str">
        <x:v>Modulo de medicos, pacientes y expediente clinico</x:v>
      </x:c>
      <x:c r="D14" s="79" t="n">
        <x:v>46118</x:v>
      </x:c>
      <x:c r="E14" s="79" t="n">
        <x:v>46122</x:v>
      </x:c>
      <x:c r="F14" s="77" t="str">
        <x:v>Backend</x:v>
      </x:c>
      <x:c r="G14" s="80" t="str"/>
      <x:c r="H14" s="80" t="str"/>
      <x:c r="I14" s="80" t="str"/>
      <x:c r="J14" s="80" t="str"/>
      <x:c r="K14" s="80" t="str"/>
      <x:c r="L14" s="80" t="str">
        <x:v>■</x:v>
      </x:c>
      <x:c r="M14" s="80" t="str">
        <x:v>■</x:v>
      </x:c>
      <x:c r="N14" s="80" t="str"/>
      <x:c r="O14" s="80" t="str"/>
      <x:c r="P14" s="80" t="str"/>
    </x:row>
    <x:row r="15">
      <x:c r="A15" s="77" t="n">
        <x:v>12</x:v>
      </x:c>
      <x:c r="B15" s="82" t="str">
        <x:v>Implementacion backend</x:v>
      </x:c>
      <x:c r="C15" s="82" t="str">
        <x:v>Modulo de agenda, horarios y disponibilidad</x:v>
      </x:c>
      <x:c r="D15" s="79" t="n">
        <x:v>46123</x:v>
      </x:c>
      <x:c r="E15" s="79" t="n">
        <x:v>46127</x:v>
      </x:c>
      <x:c r="F15" s="77" t="str">
        <x:v>Backend</x:v>
      </x:c>
      <x:c r="G15" s="80" t="str"/>
      <x:c r="H15" s="80" t="str"/>
      <x:c r="I15" s="80" t="str"/>
      <x:c r="J15" s="80" t="str"/>
      <x:c r="K15" s="80" t="str"/>
      <x:c r="L15" s="80" t="str"/>
      <x:c r="M15" s="80" t="str">
        <x:v>■</x:v>
      </x:c>
      <x:c r="N15" s="80" t="str"/>
      <x:c r="O15" s="80" t="str"/>
      <x:c r="P15" s="80" t="str"/>
    </x:row>
    <x:row r="16">
      <x:c r="A16" s="77" t="n">
        <x:v>13</x:v>
      </x:c>
      <x:c r="B16" s="82" t="str">
        <x:v>Implementacion backend</x:v>
      </x:c>
      <x:c r="C16" s="82" t="str">
        <x:v>Modulo de recetas medicas</x:v>
      </x:c>
      <x:c r="D16" s="79" t="n">
        <x:v>46128</x:v>
      </x:c>
      <x:c r="E16" s="79" t="n">
        <x:v>46130</x:v>
      </x:c>
      <x:c r="F16" s="77" t="str">
        <x:v>Backend</x:v>
      </x:c>
      <x:c r="G16" s="80" t="str"/>
      <x:c r="H16" s="80" t="str"/>
      <x:c r="I16" s="80" t="str"/>
      <x:c r="J16" s="80" t="str"/>
      <x:c r="K16" s="80" t="str"/>
      <x:c r="L16" s="80" t="str"/>
      <x:c r="M16" s="80" t="str">
        <x:v>■</x:v>
      </x:c>
      <x:c r="N16" s="80" t="str">
        <x:v>■</x:v>
      </x:c>
      <x:c r="O16" s="80" t="str"/>
      <x:c r="P16" s="80" t="str"/>
    </x:row>
    <x:row r="17">
      <x:c r="A17" s="77" t="n">
        <x:v>14</x:v>
      </x:c>
      <x:c r="B17" s="82" t="str">
        <x:v>Implementacion backend</x:v>
      </x:c>
      <x:c r="C17" s="82" t="str">
        <x:v>Modulo de pagos, recibos, reembolsos y pago online</x:v>
      </x:c>
      <x:c r="D17" s="79" t="n">
        <x:v>46131</x:v>
      </x:c>
      <x:c r="E17" s="79" t="n">
        <x:v>46134</x:v>
      </x:c>
      <x:c r="F17" s="77" t="str">
        <x:v>Backend</x:v>
      </x:c>
      <x:c r="G17" s="80" t="str"/>
      <x:c r="H17" s="80" t="str"/>
      <x:c r="I17" s="80" t="str"/>
      <x:c r="J17" s="80" t="str"/>
      <x:c r="K17" s="80" t="str"/>
      <x:c r="L17" s="80" t="str"/>
      <x:c r="M17" s="80" t="str"/>
      <x:c r="N17" s="80" t="str">
        <x:v>■</x:v>
      </x:c>
      <x:c r="O17" s="80" t="str"/>
      <x:c r="P17" s="80" t="str"/>
    </x:row>
    <x:row r="18">
      <x:c r="A18" s="77" t="n">
        <x:v>15</x:v>
      </x:c>
      <x:c r="B18" s="82" t="str">
        <x:v>Implementacion backend</x:v>
      </x:c>
      <x:c r="C18" s="82" t="str">
        <x:v>Reportes, notificaciones, auditoria y configuracion</x:v>
      </x:c>
      <x:c r="D18" s="79" t="n">
        <x:v>46135</x:v>
      </x:c>
      <x:c r="E18" s="79" t="n">
        <x:v>46138</x:v>
      </x:c>
      <x:c r="F18" s="77" t="str">
        <x:v>Backend</x:v>
      </x:c>
      <x:c r="G18" s="80" t="str"/>
      <x:c r="H18" s="80" t="str"/>
      <x:c r="I18" s="80" t="str"/>
      <x:c r="J18" s="80" t="str"/>
      <x:c r="K18" s="80" t="str"/>
      <x:c r="L18" s="80" t="str"/>
      <x:c r="M18" s="80" t="str"/>
      <x:c r="N18" s="80" t="str">
        <x:v>■</x:v>
      </x:c>
      <x:c r="O18" s="80" t="str">
        <x:v>■</x:v>
      </x:c>
      <x:c r="P18" s="80" t="str"/>
    </x:row>
    <x:row r="19">
      <x:c r="A19" s="77" t="n">
        <x:v>16</x:v>
      </x:c>
      <x:c r="B19" s="83" t="str">
        <x:v>Implementacion frontend</x:v>
      </x:c>
      <x:c r="C19" s="83" t="str">
        <x:v>Estructura React, rutas protegidas y contexto de autenticacion</x:v>
      </x:c>
      <x:c r="D19" s="79" t="n">
        <x:v>46114</x:v>
      </x:c>
      <x:c r="E19" s="79" t="n">
        <x:v>46118</x:v>
      </x:c>
      <x:c r="F19" s="77" t="str">
        <x:v>Frontend</x:v>
      </x:c>
      <x:c r="G19" s="80" t="str"/>
      <x:c r="H19" s="80" t="str"/>
      <x:c r="I19" s="80" t="str"/>
      <x:c r="J19" s="80" t="str"/>
      <x:c r="K19" s="80" t="str">
        <x:v>■</x:v>
      </x:c>
      <x:c r="L19" s="80" t="str">
        <x:v>■</x:v>
      </x:c>
      <x:c r="M19" s="80" t="str"/>
      <x:c r="N19" s="80" t="str"/>
      <x:c r="O19" s="80" t="str"/>
      <x:c r="P19" s="80" t="str"/>
    </x:row>
    <x:row r="20">
      <x:c r="A20" s="77" t="n">
        <x:v>17</x:v>
      </x:c>
      <x:c r="B20" s="83" t="str">
        <x:v>Implementacion frontend</x:v>
      </x:c>
      <x:c r="C20" s="83" t="str">
        <x:v>Pantallas de login, registro y recuperacion de contrasena</x:v>
      </x:c>
      <x:c r="D20" s="79" t="n">
        <x:v>46119</x:v>
      </x:c>
      <x:c r="E20" s="79" t="n">
        <x:v>46122</x:v>
      </x:c>
      <x:c r="F20" s="77" t="str">
        <x:v>Frontend</x:v>
      </x:c>
      <x:c r="G20" s="80" t="str"/>
      <x:c r="H20" s="80" t="str"/>
      <x:c r="I20" s="80" t="str"/>
      <x:c r="J20" s="80" t="str"/>
      <x:c r="K20" s="80" t="str"/>
      <x:c r="L20" s="80" t="str">
        <x:v>■</x:v>
      </x:c>
      <x:c r="M20" s="80" t="str">
        <x:v>■</x:v>
      </x:c>
      <x:c r="N20" s="80" t="str"/>
      <x:c r="O20" s="80" t="str"/>
      <x:c r="P20" s="80" t="str"/>
    </x:row>
    <x:row r="21">
      <x:c r="A21" s="77" t="n">
        <x:v>18</x:v>
      </x:c>
      <x:c r="B21" s="83" t="str">
        <x:v>Implementacion frontend</x:v>
      </x:c>
      <x:c r="C21" s="83" t="str">
        <x:v>Dashboard, agenda y gestion de horarios</x:v>
      </x:c>
      <x:c r="D21" s="79" t="n">
        <x:v>46123</x:v>
      </x:c>
      <x:c r="E21" s="79" t="n">
        <x:v>46128</x:v>
      </x:c>
      <x:c r="F21" s="77" t="str">
        <x:v>Frontend</x:v>
      </x:c>
      <x:c r="G21" s="80" t="str"/>
      <x:c r="H21" s="80" t="str"/>
      <x:c r="I21" s="80" t="str"/>
      <x:c r="J21" s="80" t="str"/>
      <x:c r="K21" s="80" t="str"/>
      <x:c r="L21" s="80" t="str"/>
      <x:c r="M21" s="80" t="str">
        <x:v>■</x:v>
      </x:c>
      <x:c r="N21" s="80" t="str"/>
      <x:c r="O21" s="80" t="str"/>
      <x:c r="P21" s="80" t="str"/>
    </x:row>
    <x:row r="22">
      <x:c r="A22" s="77" t="n">
        <x:v>19</x:v>
      </x:c>
      <x:c r="B22" s="83" t="str">
        <x:v>Implementacion frontend</x:v>
      </x:c>
      <x:c r="C22" s="83" t="str">
        <x:v>Pantallas de medicos y pacientes</x:v>
      </x:c>
      <x:c r="D22" s="79" t="n">
        <x:v>46129</x:v>
      </x:c>
      <x:c r="E22" s="79" t="n">
        <x:v>46132</x:v>
      </x:c>
      <x:c r="F22" s="77" t="str">
        <x:v>Frontend</x:v>
      </x:c>
      <x:c r="G22" s="80" t="str"/>
      <x:c r="H22" s="80" t="str"/>
      <x:c r="I22" s="80" t="str"/>
      <x:c r="J22" s="80" t="str"/>
      <x:c r="K22" s="80" t="str"/>
      <x:c r="L22" s="80" t="str"/>
      <x:c r="M22" s="80" t="str"/>
      <x:c r="N22" s="80" t="str">
        <x:v>■</x:v>
      </x:c>
      <x:c r="O22" s="80" t="str"/>
      <x:c r="P22" s="80" t="str"/>
    </x:row>
    <x:row r="23">
      <x:c r="A23" s="77" t="n">
        <x:v>20</x:v>
      </x:c>
      <x:c r="B23" s="83" t="str">
        <x:v>Implementacion frontend</x:v>
      </x:c>
      <x:c r="C23" s="83" t="str">
        <x:v>Pagos, recetas, reportes, notificaciones y configuracion</x:v>
      </x:c>
      <x:c r="D23" s="79" t="n">
        <x:v>46133</x:v>
      </x:c>
      <x:c r="E23" s="79" t="n">
        <x:v>46137</x:v>
      </x:c>
      <x:c r="F23" s="77" t="str">
        <x:v>Frontend</x:v>
      </x:c>
      <x:c r="G23" s="80" t="str"/>
      <x:c r="H23" s="80" t="str"/>
      <x:c r="I23" s="80" t="str"/>
      <x:c r="J23" s="80" t="str"/>
      <x:c r="K23" s="80" t="str"/>
      <x:c r="L23" s="80" t="str"/>
      <x:c r="M23" s="80" t="str"/>
      <x:c r="N23" s="80" t="str">
        <x:v>■</x:v>
      </x:c>
      <x:c r="O23" s="80" t="str">
        <x:v>■</x:v>
      </x:c>
      <x:c r="P23" s="80" t="str"/>
    </x:row>
    <x:row r="24">
      <x:c r="A24" s="77" t="n">
        <x:v>21</x:v>
      </x:c>
      <x:c r="B24" s="84" t="str">
        <x:v>Integracion y pruebas</x:v>
      </x:c>
      <x:c r="C24" s="84" t="str">
        <x:v>Integracion frontend-backend mediante clientes API</x:v>
      </x:c>
      <x:c r="D24" s="79" t="n">
        <x:v>46129</x:v>
      </x:c>
      <x:c r="E24" s="79" t="n">
        <x:v>46134</x:v>
      </x:c>
      <x:c r="F24" s="77" t="str">
        <x:v>Full stack</x:v>
      </x:c>
      <x:c r="G24" s="80" t="str"/>
      <x:c r="H24" s="80" t="str"/>
      <x:c r="I24" s="80" t="str"/>
      <x:c r="J24" s="80" t="str"/>
      <x:c r="K24" s="80" t="str"/>
      <x:c r="L24" s="80" t="str"/>
      <x:c r="M24" s="80" t="str"/>
      <x:c r="N24" s="80" t="str">
        <x:v>■</x:v>
      </x:c>
      <x:c r="O24" s="80" t="str"/>
      <x:c r="P24" s="80" t="str"/>
    </x:row>
    <x:row r="25">
      <x:c r="A25" s="77" t="n">
        <x:v>22</x:v>
      </x:c>
      <x:c r="B25" s="84" t="str">
        <x:v>Integracion y pruebas</x:v>
      </x:c>
      <x:c r="C25" s="84" t="str">
        <x:v>Validacion de flujos criticos de agenda y pacientes</x:v>
      </x:c>
      <x:c r="D25" s="79" t="n">
        <x:v>46135</x:v>
      </x:c>
      <x:c r="E25" s="79" t="n">
        <x:v>46137</x:v>
      </x:c>
      <x:c r="F25" s="77" t="str">
        <x:v>QA / Equipo</x:v>
      </x:c>
      <x:c r="G25" s="80" t="str"/>
      <x:c r="H25" s="80" t="str"/>
      <x:c r="I25" s="80" t="str"/>
      <x:c r="J25" s="80" t="str"/>
      <x:c r="K25" s="80" t="str"/>
      <x:c r="L25" s="80" t="str"/>
      <x:c r="M25" s="80" t="str"/>
      <x:c r="N25" s="80" t="str">
        <x:v>■</x:v>
      </x:c>
      <x:c r="O25" s="80" t="str">
        <x:v>■</x:v>
      </x:c>
      <x:c r="P25" s="80" t="str"/>
    </x:row>
    <x:row r="26">
      <x:c r="A26" s="77" t="n">
        <x:v>23</x:v>
      </x:c>
      <x:c r="B26" s="84" t="str">
        <x:v>Integracion y pruebas</x:v>
      </x:c>
      <x:c r="C26" s="84" t="str">
        <x:v>Validacion de pagos, reportes y notificaciones</x:v>
      </x:c>
      <x:c r="D26" s="79" t="n">
        <x:v>46138</x:v>
      </x:c>
      <x:c r="E26" s="79" t="n">
        <x:v>46140</x:v>
      </x:c>
      <x:c r="F26" s="77" t="str">
        <x:v>QA / Equipo</x:v>
      </x:c>
      <x:c r="G26" s="80" t="str"/>
      <x:c r="H26" s="80" t="str"/>
      <x:c r="I26" s="80" t="str"/>
      <x:c r="J26" s="80" t="str"/>
      <x:c r="K26" s="80" t="str"/>
      <x:c r="L26" s="80" t="str"/>
      <x:c r="M26" s="80" t="str"/>
      <x:c r="N26" s="80" t="str"/>
      <x:c r="O26" s="80" t="str">
        <x:v>■</x:v>
      </x:c>
      <x:c r="P26" s="80" t="str"/>
    </x:row>
    <x:row r="27">
      <x:c r="A27" s="77" t="n">
        <x:v>24</x:v>
      </x:c>
      <x:c r="B27" s="84" t="str">
        <x:v>Integracion y pruebas</x:v>
      </x:c>
      <x:c r="C27" s="84" t="str">
        <x:v>Ajustes finales de seguridad, sesiones y configuracion</x:v>
      </x:c>
      <x:c r="D27" s="79" t="n">
        <x:v>46141</x:v>
      </x:c>
      <x:c r="E27" s="79" t="n">
        <x:v>46142</x:v>
      </x:c>
      <x:c r="F27" s="77" t="str">
        <x:v>Backend</x:v>
      </x:c>
      <x:c r="G27" s="80" t="str"/>
      <x:c r="H27" s="80" t="str"/>
      <x:c r="I27" s="80" t="str"/>
      <x:c r="J27" s="80" t="str"/>
      <x:c r="K27" s="80" t="str"/>
      <x:c r="L27" s="80" t="str"/>
      <x:c r="M27" s="80" t="str"/>
      <x:c r="N27" s="80" t="str"/>
      <x:c r="O27" s="80" t="str">
        <x:v>■</x:v>
      </x:c>
      <x:c r="P27" s="80" t="str"/>
    </x:row>
    <x:row r="28">
      <x:c r="A28" s="77" t="n">
        <x:v>25</x:v>
      </x:c>
      <x:c r="B28" s="85" t="str">
        <x:v>Documentacion y entrega</x:v>
      </x:c>
      <x:c r="C28" s="85" t="str">
        <x:v>Elaboracion de acta general del proyecto</x:v>
      </x:c>
      <x:c r="D28" s="79" t="n">
        <x:v>46139</x:v>
      </x:c>
      <x:c r="E28" s="79" t="n">
        <x:v>46139</x:v>
      </x:c>
      <x:c r="F28" s="77" t="str">
        <x:v>Documentacion</x:v>
      </x:c>
      <x:c r="G28" s="80" t="str"/>
      <x:c r="H28" s="80" t="str"/>
      <x:c r="I28" s="80" t="str"/>
      <x:c r="J28" s="80" t="str"/>
      <x:c r="K28" s="80" t="str"/>
      <x:c r="L28" s="80" t="str"/>
      <x:c r="M28" s="80" t="str"/>
      <x:c r="N28" s="80" t="str"/>
      <x:c r="O28" s="80" t="str">
        <x:v>■</x:v>
      </x:c>
      <x:c r="P28" s="80" t="str"/>
    </x:row>
    <x:row r="29">
      <x:c r="A29" s="77" t="n">
        <x:v>26</x:v>
      </x:c>
      <x:c r="B29" s="85" t="str">
        <x:v>Documentacion y entrega</x:v>
      </x:c>
      <x:c r="C29" s="85" t="str">
        <x:v>Elaboracion de manual tecnico</x:v>
      </x:c>
      <x:c r="D29" s="79" t="n">
        <x:v>46142</x:v>
      </x:c>
      <x:c r="E29" s="79" t="n">
        <x:v>46142</x:v>
      </x:c>
      <x:c r="F29" s="77" t="str">
        <x:v>Documentacion</x:v>
      </x:c>
      <x:c r="G29" s="80" t="str"/>
      <x:c r="H29" s="80" t="str"/>
      <x:c r="I29" s="80" t="str"/>
      <x:c r="J29" s="80" t="str"/>
      <x:c r="K29" s="80" t="str"/>
      <x:c r="L29" s="80" t="str"/>
      <x:c r="M29" s="80" t="str"/>
      <x:c r="N29" s="80" t="str"/>
      <x:c r="O29" s="80" t="str">
        <x:v>■</x:v>
      </x:c>
      <x:c r="P29" s="80" t="str"/>
    </x:row>
    <x:row r="30">
      <x:c r="A30" s="77" t="n">
        <x:v>27</x:v>
      </x:c>
      <x:c r="B30" s="85" t="str">
        <x:v>Documentacion y entrega</x:v>
      </x:c>
      <x:c r="C30" s="85" t="str">
        <x:v>Construccion de cronograma profesional del proyecto</x:v>
      </x:c>
      <x:c r="D30" s="79" t="n">
        <x:v>46142</x:v>
      </x:c>
      <x:c r="E30" s="79" t="n">
        <x:v>46142</x:v>
      </x:c>
      <x:c r="F30" s="77" t="str">
        <x:v>Documentacion</x:v>
      </x:c>
      <x:c r="G30" s="80" t="str"/>
      <x:c r="H30" s="80" t="str"/>
      <x:c r="I30" s="80" t="str"/>
      <x:c r="J30" s="80" t="str"/>
      <x:c r="K30" s="80" t="str"/>
      <x:c r="L30" s="80" t="str"/>
      <x:c r="M30" s="80" t="str"/>
      <x:c r="N30" s="80" t="str"/>
      <x:c r="O30" s="80" t="str">
        <x:v>■</x:v>
      </x:c>
      <x:c r="P30" s="80" t="str"/>
    </x:row>
    <x:row r="31">
      <x:c r="A31" s="77" t="n">
        <x:v>28</x:v>
      </x:c>
      <x:c r="B31" s="85" t="str">
        <x:v>Documentacion y entrega</x:v>
      </x:c>
      <x:c r="C31" s="85" t="str">
        <x:v>Revision final y preparacion de entrega academica</x:v>
      </x:c>
      <x:c r="D31" s="79" t="n">
        <x:v>46143</x:v>
      </x:c>
      <x:c r="E31" s="79" t="n">
        <x:v>46145</x:v>
      </x:c>
      <x:c r="F31" s="77" t="str">
        <x:v>Equipo completo</x:v>
      </x:c>
      <x:c r="G31" s="80" t="str"/>
      <x:c r="H31" s="80" t="str"/>
      <x:c r="I31" s="80" t="str"/>
      <x:c r="J31" s="80" t="str"/>
      <x:c r="K31" s="80" t="str"/>
      <x:c r="L31" s="80" t="str"/>
      <x:c r="M31" s="80" t="str"/>
      <x:c r="N31" s="80" t="str"/>
      <x:c r="O31" s="80" t="str"/>
      <x:c r="P31" s="80" t="str">
        <x:v>■</x:v>
      </x:c>
    </x:row>
    <x:row r="32">
      <x:c r="A32" s="58"/>
      <x:c r="B32" s="58"/>
      <x:c r="C32" s="58"/>
      <x:c r="D32" s="58"/>
      <x:c r="E32" s="58"/>
      <x:c r="F32" s="58"/>
      <x:c r="G32" s="58"/>
      <x:c r="H32" s="58"/>
      <x:c r="I32" s="58"/>
      <x:c r="J32" s="58"/>
      <x:c r="K32" s="58"/>
      <x:c r="L32" s="58"/>
      <x:c r="M32" s="58"/>
      <x:c r="N32" s="58"/>
      <x:c r="O32" s="58"/>
      <x:c r="P32" s="58"/>
    </x:row>
    <x:row r="33">
      <x:c r="A33" s="58"/>
      <x:c r="B33" s="58"/>
      <x:c r="C33" s="58"/>
      <x:c r="D33" s="58"/>
      <x:c r="E33" s="58"/>
      <x:c r="F33" s="58"/>
      <x:c r="G33" s="58"/>
      <x:c r="H33" s="58"/>
      <x:c r="I33" s="58"/>
      <x:c r="J33" s="58"/>
      <x:c r="K33" s="58"/>
      <x:c r="L33" s="58"/>
      <x:c r="M33" s="58"/>
      <x:c r="N33" s="58"/>
      <x:c r="O33" s="58"/>
      <x:c r="P33" s="58"/>
    </x:row>
    <x:row r="34">
      <x:c r="A34" s="58"/>
      <x:c r="B34" s="58"/>
      <x:c r="C34" s="58"/>
      <x:c r="D34" s="58"/>
      <x:c r="E34" s="58"/>
      <x:c r="F34" s="58"/>
      <x:c r="G34" s="58"/>
      <x:c r="H34" s="58"/>
      <x:c r="I34" s="58"/>
      <x:c r="J34" s="58"/>
      <x:c r="K34" s="58"/>
      <x:c r="L34" s="58"/>
      <x:c r="M34" s="58"/>
      <x:c r="N34" s="58"/>
      <x:c r="O34" s="58"/>
      <x:c r="P34" s="58"/>
    </x:row>
    <x:row r="35">
      <x:c r="A35" s="86" t="str">
        <x:v>Leyenda: cada marca indica que la actividad tiene trabajo planificado durante esa semana calendario. El cronograma inicia el 27/02/2026 y cubre analisis, diseno, implementacion, integracion, documentacion y entrega.</x:v>
      </x:c>
      <x:c r="B35" s="58"/>
      <x:c r="C35" s="58"/>
      <x:c r="D35" s="58"/>
      <x:c r="E35" s="58"/>
      <x:c r="F35" s="58"/>
      <x:c r="G35" s="58"/>
      <x:c r="H35" s="58"/>
      <x:c r="I35" s="58"/>
      <x:c r="J35" s="58"/>
      <x:c r="K35" s="58"/>
      <x:c r="L35" s="58"/>
      <x:c r="M35" s="58"/>
      <x:c r="N35" s="58"/>
      <x:c r="O35" s="58"/>
      <x:c r="P35" s="58"/>
    </x:row>
  </x:sheetData>
  <x:mergeCells>
    <x:mergeCell ref="A1:P1"/>
    <x:mergeCell ref="A35:P37"/>
  </x:mergeCells>
  <x:pageMargins left="0.7" right="0.7" top="0.75" bottom="0.75" header="0.3" footer="0.3"/>
</x:worksheet>
</file>